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78493386be4a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ts" sheetId="1" r:id="R3430006229394842"/>
    <x:sheet xmlns:r="http://schemas.openxmlformats.org/officeDocument/2006/relationships" name="Manifest" sheetId="2" r:id="Re2515703b6a748bc"/>
    <x:sheet xmlns:r="http://schemas.openxmlformats.org/officeDocument/2006/relationships" name="QC_Metrics" sheetId="3" r:id="Rb8653783c7744e44"/>
    <x:sheet xmlns:r="http://schemas.openxmlformats.org/officeDocument/2006/relationships" name="Dataset_Specs" sheetId="4" r:id="R3a4543e939eb4c39"/>
    <x:sheet xmlns:r="http://schemas.openxmlformats.org/officeDocument/2006/relationships" name="JS_Distance" sheetId="5" r:id="R0c3ae38eedef4dca"/>
    <x:sheet xmlns:r="http://schemas.openxmlformats.org/officeDocument/2006/relationships" name="PCA_Embedding" sheetId="6" r:id="R5b0e847df6254041"/>
    <x:sheet xmlns:r="http://schemas.openxmlformats.org/officeDocument/2006/relationships" name="Entropy" sheetId="7" r:id="R992873039061472d"/>
    <x:sheet xmlns:r="http://schemas.openxmlformats.org/officeDocument/2006/relationships" name="Auto_Groups" sheetId="8" r:id="R40c0b0a251e34f45"/>
    <x:sheet xmlns:r="http://schemas.openxmlformats.org/officeDocument/2006/relationships" name="Pipeline_Params" sheetId="9" r:id="R80027b75249b4977"/>
    <x:sheet xmlns:r="http://schemas.openxmlformats.org/officeDocument/2006/relationships" name="Network_Summary" sheetId="10" r:id="R14fb16e98e154648"/>
    <x:sheet xmlns:r="http://schemas.openxmlformats.org/officeDocument/2006/relationships" name="Topology_Curve" sheetId="11" r:id="R6dd6306a37514cc2"/>
    <x:sheet xmlns:r="http://schemas.openxmlformats.org/officeDocument/2006/relationships" name="Real_Node_Metrics" sheetId="12" r:id="R0fce16fc81654c6e"/>
    <x:sheet xmlns:r="http://schemas.openxmlformats.org/officeDocument/2006/relationships" name="Real_Mixture_Ranking" sheetId="13" r:id="Rff94d305de8040e5"/>
    <x:sheet xmlns:r="http://schemas.openxmlformats.org/officeDocument/2006/relationships" name="Yield_vs_Score" sheetId="14" r:id="Rab480917ae26436f"/>
    <x:sheet xmlns:r="http://schemas.openxmlformats.org/officeDocument/2006/relationships" name="Diffusion_Coords" sheetId="15" r:id="R101bb78e81f7419a"/>
    <x:sheet xmlns:r="http://schemas.openxmlformats.org/officeDocument/2006/relationships" name="Diffusion_Eigs" sheetId="16" r:id="R94e634d31010487b"/>
    <x:sheet xmlns:r="http://schemas.openxmlformats.org/officeDocument/2006/relationships" name="Edge_Metrics" sheetId="17" r:id="Rfa37635d366549ad"/>
    <x:sheet xmlns:r="http://schemas.openxmlformats.org/officeDocument/2006/relationships" name="Pool_Weights_Group" sheetId="18" r:id="Rc15a4004f7db44f0"/>
    <x:sheet xmlns:r="http://schemas.openxmlformats.org/officeDocument/2006/relationships" name="Pool_Weights_Individual" sheetId="19" r:id="R6f4da4a917754cc6"/>
    <x:sheet xmlns:r="http://schemas.openxmlformats.org/officeDocument/2006/relationships" name="Synthetic_Summary" sheetId="20" r:id="R076bcdb2d4bc4418"/>
    <x:sheet xmlns:r="http://schemas.openxmlformats.org/officeDocument/2006/relationships" name="Synthetic_Node_Scores" sheetId="21" r:id="Rc7a10fd3ed6e4a30"/>
    <x:sheet xmlns:r="http://schemas.openxmlformats.org/officeDocument/2006/relationships" name="Synthetic_Truth" sheetId="22" r:id="R614e9f9dfcf54e40"/>
    <x:sheet xmlns:r="http://schemas.openxmlformats.org/officeDocument/2006/relationships" name="Synthetic_Score_vs_Truth" sheetId="23" r:id="Rbba0007b26544b6f"/>
    <x:sheet xmlns:r="http://schemas.openxmlformats.org/officeDocument/2006/relationships" name="Synthetic_Edge_Curvature" sheetId="24" r:id="R23f1247e70d545fe"/>
    <x:sheet xmlns:r="http://schemas.openxmlformats.org/officeDocument/2006/relationships" name="Sensitivity_Reads" sheetId="25" r:id="R352173ec35b94344"/>
    <x:sheet xmlns:r="http://schemas.openxmlformats.org/officeDocument/2006/relationships" name="Sensitivity_Kmer" sheetId="26" r:id="Rff0c9badca5e4659"/>
    <x:sheet xmlns:r="http://schemas.openxmlformats.org/officeDocument/2006/relationships" name="Sensitivity_Raw_Boot30" sheetId="27" r:id="R72f65d75f44e46d5"/>
    <x:sheet xmlns:r="http://schemas.openxmlformats.org/officeDocument/2006/relationships" name="KNN_Sweep_Summary" sheetId="28" r:id="R7a95e0195d0849de"/>
    <x:sheet xmlns:r="http://schemas.openxmlformats.org/officeDocument/2006/relationships" name="KNN_Params" sheetId="29" r:id="Rbf880943ab9247eb"/>
    <x:sheet xmlns:r="http://schemas.openxmlformats.org/officeDocument/2006/relationships" name="KNN_Stability" sheetId="30" r:id="R7070e73a0638486a"/>
    <x:sheet xmlns:r="http://schemas.openxmlformats.org/officeDocument/2006/relationships" name="KNN_Top5_By_k" sheetId="31" r:id="R9a1de1ff725d4049"/>
    <x:sheet xmlns:r="http://schemas.openxmlformats.org/officeDocument/2006/relationships" name="KNN_Mixture_Scores" sheetId="32" r:id="Ra0a8c1c1cafb4a5a"/>
    <x:sheet xmlns:r="http://schemas.openxmlformats.org/officeDocument/2006/relationships" name="KNN_Spearman" sheetId="33" r:id="R4f647877dd2a4fb3"/>
    <x:sheet xmlns:r="http://schemas.openxmlformats.org/officeDocument/2006/relationships" name="KNN_Jaccard" sheetId="34" r:id="R4a4879cf105f4015"/>
    <x:sheet xmlns:r="http://schemas.openxmlformats.org/officeDocument/2006/relationships" name="Runtime_Memory" sheetId="35" r:id="Reabfadf424c14bb1"/>
    <x:sheet xmlns:r="http://schemas.openxmlformats.org/officeDocument/2006/relationships" name="TMS_Ablation" sheetId="36" r:id="Rfb7d8b6d579f47be"/>
    <x:sheet xmlns:r="http://schemas.openxmlformats.org/officeDocument/2006/relationships" name="TMS_Ablation_Diagnostics" sheetId="37" r:id="Rf3c35cb78f614921"/>
  </x:sheets>
</x:workbook>
</file>

<file path=xl/sharedStrings.xml><?xml version="1.0" encoding="utf-8"?>
<x:sst xmlns:x="http://schemas.openxmlformats.org/spreadsheetml/2006/main">
  <x:si>
    <x:t xml:space="preserve">Supplementary Data S1</x:t>
  </x:si>
  <x:si>
    <x:t xml:space="preserve">Purpose</x:t>
  </x:si>
  <x:si>
    <x:t xml:space="preserve">Notes</x:t>
  </x:si>
  <x:si>
    <x:t xml:space="preserve">Sheet</x:t>
  </x:si>
  <x:si>
    <x:t xml:space="preserve">Description</x:t>
  </x:si>
  <x:si>
    <x:t xml:space="preserve">Manifest</x:t>
  </x:si>
  <x:si>
    <x:t xml:space="preserve">Sample-level file manifest and raw file sizes.</x:t>
  </x:si>
  <x:si>
    <x:t xml:space="preserve">QC_Metrics</x:t>
  </x:si>
  <x:si>
    <x:t xml:space="preserve">Sampled FASTQ QC metrics.</x:t>
  </x:si>
  <x:si>
    <x:t xml:space="preserve">Dataset_Specs</x:t>
  </x:si>
  <x:si>
    <x:t xml:space="preserve">Per-library total reads, bases, read-length summary, and mean Phred.</x:t>
  </x:si>
  <x:si>
    <x:t xml:space="preserve">JS_Distance</x:t>
  </x:si>
  <x:si>
    <x:t xml:space="preserve">Pairwise Jensen-Shannon distance matrix among 18 libraries.</x:t>
  </x:si>
  <x:si>
    <x:t xml:space="preserve">PCA_Embedding</x:t>
  </x:si>
  <x:si>
    <x:t xml:space="preserve">PCA coordinates derived from the k-mer distance representation.</x:t>
  </x:si>
  <x:si>
    <x:t xml:space="preserve">Entropy</x:t>
  </x:si>
  <x:si>
    <x:t xml:space="preserve">Per-sample k-mer entropy summary.</x:t>
  </x:si>
  <x:si>
    <x:t xml:space="preserve">Auto_Groups</x:t>
  </x:si>
  <x:si>
    <x:t xml:space="preserve">Automatic cohort grouping labels used for visualization context.</x:t>
  </x:si>
  <x:si>
    <x:t xml:space="preserve">Pipeline_Params</x:t>
  </x:si>
  <x:si>
    <x:t xml:space="preserve">Core preprocessing/sketch parameters.</x:t>
  </x:si>
  <x:si>
    <x:t xml:space="preserve">Network_Summary</x:t>
  </x:si>
  <x:si>
    <x:t xml:space="preserve">Real-data graph summary at the selected operating point.</x:t>
  </x:si>
  <x:si>
    <x:t xml:space="preserve">Topology_Curve</x:t>
  </x:si>
  <x:si>
    <x:t xml:space="preserve">Threshold sweep summarizing Euler characteristic and entropy behavior.</x:t>
  </x:si>
  <x:si>
    <x:t xml:space="preserve">Real_Node_Metrics</x:t>
  </x:si>
  <x:si>
    <x:t xml:space="preserve">Node-level geometry and curvature metrics for the real cohort.</x:t>
  </x:si>
  <x:si>
    <x:t xml:space="preserve">Real_Mixture_Ranking</x:t>
  </x:si>
  <x:si>
    <x:t xml:space="preserve">Ranked real-sample Topological Mixture Score table.</x:t>
  </x:si>
  <x:si>
    <x:t xml:space="preserve">Yield_vs_Score</x:t>
  </x:si>
  <x:si>
    <x:t xml:space="preserve">Per-sample total sequenced bases linked to mixture score for Fig. S1 support.</x:t>
  </x:si>
  <x:si>
    <x:t xml:space="preserve">Diffusion_Coords</x:t>
  </x:si>
  <x:si>
    <x:t xml:space="preserve">Diffusion-map coordinates for the real cohort.</x:t>
  </x:si>
  <x:si>
    <x:t xml:space="preserve">Diffusion_Eigs</x:t>
  </x:si>
  <x:si>
    <x:t xml:space="preserve">Leading diffusion eigenvalues.</x:t>
  </x:si>
  <x:si>
    <x:t xml:space="preserve">Edge_Metrics</x:t>
  </x:si>
  <x:si>
    <x:t xml:space="preserve">Real-data edge-level curvature metrics.</x:t>
  </x:si>
  <x:si>
    <x:t xml:space="preserve">Pool_Weights_Group</x:t>
  </x:si>
  <x:si>
    <x:t xml:space="preserve">Group-level decomposition of experimentally pooled libraries.</x:t>
  </x:si>
  <x:si>
    <x:t xml:space="preserve">Pool_Weights_Individual</x:t>
  </x:si>
  <x:si>
    <x:t xml:space="preserve">Individual-level decomposition of experimentally pooled libraries.</x:t>
  </x:si>
  <x:si>
    <x:t xml:space="preserve">Synthetic_Summary</x:t>
  </x:si>
  <x:si>
    <x:t xml:space="preserve">Synthetic_Node_Scores</x:t>
  </x:si>
  <x:si>
    <x:t xml:space="preserve">Synthetic cohort node scores.</x:t>
  </x:si>
  <x:si>
    <x:t xml:space="preserve">Synthetic_Truth</x:t>
  </x:si>
  <x:si>
    <x:t xml:space="preserve">Parental composition truth table for synthetic pools.</x:t>
  </x:si>
  <x:si>
    <x:t xml:space="preserve">Synthetic_Score_vs_Truth</x:t>
  </x:si>
  <x:si>
    <x:t xml:space="preserve">Synthetic score table aligned to truth variables.</x:t>
  </x:si>
  <x:si>
    <x:t xml:space="preserve">Synthetic_Edge_Curvature</x:t>
  </x:si>
  <x:si>
    <x:t xml:space="preserve">Synthetic cohort edge-level curvature table.</x:t>
  </x:si>
  <x:si>
    <x:t xml:space="preserve">Sensitivity_Reads</x:t>
  </x:si>
  <x:si>
    <x:t xml:space="preserve">Bootstrap summary across read-depth subsampling levels.</x:t>
  </x:si>
  <x:si>
    <x:t xml:space="preserve">Sensitivity_Kmer</x:t>
  </x:si>
  <x:si>
    <x:t xml:space="preserve">Bootstrap summary across k-mer length settings.</x:t>
  </x:si>
  <x:si>
    <x:t xml:space="preserve">Sensitivity_Raw_Boot30</x:t>
  </x:si>
  <x:si>
    <x:t xml:space="preserve">Raw bootstrap metrics for all 30x sweeps.</x:t>
  </x:si>
  <x:si>
    <x:t xml:space="preserve">KNN_Sweep_Summary</x:t>
  </x:si>
  <x:si>
    <x:t xml:space="preserve">KNN_Params</x:t>
  </x:si>
  <x:si>
    <x:t xml:space="preserve">kNN sweep run parameters.</x:t>
  </x:si>
  <x:si>
    <x:t xml:space="preserve">KNN_Stability</x:t>
  </x:si>
  <x:si>
    <x:t xml:space="preserve">Original union/intersection summary table from the sweep.</x:t>
  </x:si>
  <x:si>
    <x:t xml:space="preserve">KNN_Top5_By_k</x:t>
  </x:si>
  <x:si>
    <x:t xml:space="preserve">Top-5 ranked candidate samples for each k.</x:t>
  </x:si>
  <x:si>
    <x:t xml:space="preserve">KNN_Mixture_Scores</x:t>
  </x:si>
  <x:si>
    <x:t xml:space="preserve">Per-sample mixture score across k = 3-7.</x:t>
  </x:si>
  <x:si>
    <x:t xml:space="preserve">KNN_Spearman</x:t>
  </x:si>
  <x:si>
    <x:t xml:space="preserve">Pairwise Spearman rank-correlation matrix across k values.</x:t>
  </x:si>
  <x:si>
    <x:t xml:space="preserve">KNN_Jaccard</x:t>
  </x:si>
  <x:si>
    <x:t xml:space="preserve">Pairwise Jaccard overlap matrix for Top-5 sets across k values.</x:t>
  </x:si>
  <x:si>
    <x:t xml:space="preserve">Runtime_Memory</x:t>
  </x:si>
  <x:si>
    <x:t xml:space="preserve">Runtime and peak memory summary for core pipeline steps.</x:t>
  </x:si>
  <x:si>
    <x:t xml:space="preserve">TMS_Ablation</x:t>
  </x:si>
  <x:si>
    <x:t xml:space="preserve">TMS_Ablation_Diagnostics</x:t>
  </x:si>
  <x:si>
    <x:t xml:space="preserve">Diagnostics for the ablation table build.</x:t>
  </x:si>
  <x:si>
    <x:t xml:space="preserve">sample</x:t>
  </x:si>
  <x:si>
    <x:t xml:space="preserve">r1</x:t>
  </x:si>
  <x:si>
    <x:t xml:space="preserve">r2</x:t>
  </x:si>
  <x:si>
    <x:t xml:space="preserve">r1_bytes</x:t>
  </x:si>
  <x:si>
    <x:t xml:space="preserve">r2_bytes</x:t>
  </x:si>
  <x:si>
    <x:t xml:space="preserve">total_bytes</x:t>
  </x:si>
  <x:si>
    <x:t xml:space="preserve">SRR17037610</x:t>
  </x:si>
  <x:si>
    <x:t xml:space="preserve">SRR17037610_1.fastq.gz</x:t>
  </x:si>
  <x:si>
    <x:t xml:space="preserve">SRR17037610_2.fastq.gz</x:t>
  </x:si>
  <x:si>
    <x:t xml:space="preserve">SRR17037611</x:t>
  </x:si>
  <x:si>
    <x:t xml:space="preserve">SRR17037611_1.fastq.gz</x:t>
  </x:si>
  <x:si>
    <x:t xml:space="preserve">SRR17037611_2.fastq.gz</x:t>
  </x:si>
  <x:si>
    <x:t xml:space="preserve">SRR17037612</x:t>
  </x:si>
  <x:si>
    <x:t xml:space="preserve">SRR17037612_1.fastq.gz</x:t>
  </x:si>
  <x:si>
    <x:t xml:space="preserve">SRR17037612_2.fastq.gz</x:t>
  </x:si>
  <x:si>
    <x:t xml:space="preserve">SRR17037613</x:t>
  </x:si>
  <x:si>
    <x:t xml:space="preserve">SRR17037613_1.fastq.gz</x:t>
  </x:si>
  <x:si>
    <x:t xml:space="preserve">SRR17037613_2.fastq.gz</x:t>
  </x:si>
  <x:si>
    <x:t xml:space="preserve">SRR17037614</x:t>
  </x:si>
  <x:si>
    <x:t xml:space="preserve">SRR17037614_1.fastq.gz</x:t>
  </x:si>
  <x:si>
    <x:t xml:space="preserve">SRR17037614_2.fastq.gz</x:t>
  </x:si>
  <x:si>
    <x:t xml:space="preserve">SRR17037615</x:t>
  </x:si>
  <x:si>
    <x:t xml:space="preserve">SRR17037615_1.fastq.gz</x:t>
  </x:si>
  <x:si>
    <x:t xml:space="preserve">SRR17037615_2.fastq.gz</x:t>
  </x:si>
  <x:si>
    <x:t xml:space="preserve">SRR17037616</x:t>
  </x:si>
  <x:si>
    <x:t xml:space="preserve">SRR17037616_1.fastq.gz</x:t>
  </x:si>
  <x:si>
    <x:t xml:space="preserve">SRR17037616_2.fastq.gz</x:t>
  </x:si>
  <x:si>
    <x:t xml:space="preserve">SRR17037617</x:t>
  </x:si>
  <x:si>
    <x:t xml:space="preserve">SRR17037617_1.fastq.gz</x:t>
  </x:si>
  <x:si>
    <x:t xml:space="preserve">SRR17037617_2.fastq.gz</x:t>
  </x:si>
  <x:si>
    <x:t xml:space="preserve">SRR17037618</x:t>
  </x:si>
  <x:si>
    <x:t xml:space="preserve">SRR17037618_1.fastq.gz</x:t>
  </x:si>
  <x:si>
    <x:t xml:space="preserve">SRR17037618_2.fastq.gz</x:t>
  </x:si>
  <x:si>
    <x:t xml:space="preserve">SRR17037619</x:t>
  </x:si>
  <x:si>
    <x:t xml:space="preserve">SRR17037619_1.fastq.gz</x:t>
  </x:si>
  <x:si>
    <x:t xml:space="preserve">SRR17037619_2.fastq.gz</x:t>
  </x:si>
  <x:si>
    <x:t xml:space="preserve">SRR17037620</x:t>
  </x:si>
  <x:si>
    <x:t xml:space="preserve">SRR17037620_1.fastq.gz</x:t>
  </x:si>
  <x:si>
    <x:t xml:space="preserve">SRR17037620_2.fastq.gz</x:t>
  </x:si>
  <x:si>
    <x:t xml:space="preserve">SRR17037621</x:t>
  </x:si>
  <x:si>
    <x:t xml:space="preserve">SRR17037621_1.fastq.gz</x:t>
  </x:si>
  <x:si>
    <x:t xml:space="preserve">SRR17037621_2.fastq.gz</x:t>
  </x:si>
  <x:si>
    <x:t xml:space="preserve">SRR17037622</x:t>
  </x:si>
  <x:si>
    <x:t xml:space="preserve">SRR17037622_1.fastq.gz</x:t>
  </x:si>
  <x:si>
    <x:t xml:space="preserve">SRR17037622_2.fastq.gz</x:t>
  </x:si>
  <x:si>
    <x:t xml:space="preserve">SRR17037623</x:t>
  </x:si>
  <x:si>
    <x:t xml:space="preserve">SRR17037623_1.fastq.gz</x:t>
  </x:si>
  <x:si>
    <x:t xml:space="preserve">SRR17037623_2.fastq.gz</x:t>
  </x:si>
  <x:si>
    <x:t xml:space="preserve">SRR17037624</x:t>
  </x:si>
  <x:si>
    <x:t xml:space="preserve">SRR17037624_1.fastq.gz</x:t>
  </x:si>
  <x:si>
    <x:t xml:space="preserve">SRR17037624_2.fastq.gz</x:t>
  </x:si>
  <x:si>
    <x:t xml:space="preserve">SRR17037625</x:t>
  </x:si>
  <x:si>
    <x:t xml:space="preserve">SRR17037625_1.fastq.gz</x:t>
  </x:si>
  <x:si>
    <x:t xml:space="preserve">SRR17037625_2.fastq.gz</x:t>
  </x:si>
  <x:si>
    <x:t xml:space="preserve">SRR17037626</x:t>
  </x:si>
  <x:si>
    <x:t xml:space="preserve">SRR17037626_1.fastq.gz</x:t>
  </x:si>
  <x:si>
    <x:t xml:space="preserve">SRR17037626_2.fastq.gz</x:t>
  </x:si>
  <x:si>
    <x:t xml:space="preserve">SRR17037627</x:t>
  </x:si>
  <x:si>
    <x:t xml:space="preserve">SRR17037627_1.fastq.gz</x:t>
  </x:si>
  <x:si>
    <x:t xml:space="preserve">SRR17037627_2.fastq.gz</x:t>
  </x:si>
  <x:si>
    <x:t xml:space="preserve">depth_group</x:t>
  </x:si>
  <x:si>
    <x:t xml:space="preserve">R1_reads_used</x:t>
  </x:si>
  <x:si>
    <x:t xml:space="preserve">R2_reads_used</x:t>
  </x:si>
  <x:si>
    <x:t xml:space="preserve">R1_mean_len</x:t>
  </x:si>
  <x:si>
    <x:t xml:space="preserve">R2_mean_len</x:t>
  </x:si>
  <x:si>
    <x:t xml:space="preserve">R1_gc_frac</x:t>
  </x:si>
  <x:si>
    <x:t xml:space="preserve">R2_gc_frac</x:t>
  </x:si>
  <x:si>
    <x:t xml:space="preserve">R1_n_frac</x:t>
  </x:si>
  <x:si>
    <x:t xml:space="preserve">R2_n_frac</x:t>
  </x:si>
  <x:si>
    <x:t xml:space="preserve">R1_mean_phred</x:t>
  </x:si>
  <x:si>
    <x:t xml:space="preserve">R2_mean_phred</x:t>
  </x:si>
  <x:si>
    <x:t xml:space="preserve">R1_q30_frac</x:t>
  </x:si>
  <x:si>
    <x:t xml:space="preserve">R2_q30_frac</x:t>
  </x:si>
  <x:si>
    <x:t xml:space="preserve">gc_frac</x:t>
  </x:si>
  <x:si>
    <x:t xml:space="preserve">mean_phred</x:t>
  </x:si>
  <x:si>
    <x:t xml:space="preserve">HiDepth</x:t>
  </x:si>
  <x:si>
    <x:t xml:space="preserve">LoDepth</x:t>
  </x:si>
  <x:si>
    <x:t xml:space="preserve">total_reads</x:t>
  </x:si>
  <x:si>
    <x:t xml:space="preserve">total_bases</x:t>
  </x:si>
  <x:si>
    <x:t xml:space="preserve">mean_read_length</x:t>
  </x:si>
  <x:si>
    <x:t xml:space="preserve">min_read_length</x:t>
  </x:si>
  <x:si>
    <x:t xml:space="preserve">max_read_length</x:t>
  </x:si>
  <x:si>
    <x:t xml:space="preserve">n_fastq_files</x:t>
  </x:si>
  <x:si>
    <x:t xml:space="preserve">SUMMARY</x:t>
  </x:si>
  <x:si>
    <x:t xml:space="preserve">PC1</x:t>
  </x:si>
  <x:si>
    <x:t xml:space="preserve">PC2</x:t>
  </x:si>
  <x:si>
    <x:t xml:space="preserve">kmer_entropy</x:t>
  </x:si>
  <x:si>
    <x:t xml:space="preserve">auto_group</x:t>
  </x:si>
  <x:si>
    <x:t xml:space="preserve">G1</x:t>
  </x:si>
  <x:si>
    <x:t xml:space="preserve">G3</x:t>
  </x:si>
  <x:si>
    <x:t xml:space="preserve">G4</x:t>
  </x:si>
  <x:si>
    <x:t xml:space="preserve">G2</x:t>
  </x:si>
  <x:si>
    <x:t xml:space="preserve">G5</x:t>
  </x:si>
  <x:si>
    <x:t xml:space="preserve">k</x:t>
  </x:si>
  <x:si>
    <x:t xml:space="preserve">dim</x:t>
  </x:si>
  <x:si>
    <x:t xml:space="preserve">step</x:t>
  </x:si>
  <x:si>
    <x:t xml:space="preserve">qc_reads</x:t>
  </x:si>
  <x:si>
    <x:t xml:space="preserve">kmer_reads</x:t>
  </x:si>
  <x:si>
    <x:t xml:space="preserve">edges</x:t>
  </x:si>
  <x:si>
    <x:t xml:space="preserve">threshold</x:t>
  </x:si>
  <x:si>
    <x:t xml:space="preserve">communities</x:t>
  </x:si>
  <x:si>
    <x:t xml:space="preserve">V</x:t>
  </x:si>
  <x:si>
    <x:t xml:space="preserve">E</x:t>
  </x:si>
  <x:si>
    <x:t xml:space="preserve">components</x:t>
  </x:si>
  <x:si>
    <x:t xml:space="preserve">beta1_graph</x:t>
  </x:si>
  <x:si>
    <x:t xml:space="preserve">euler_clique_complex</x:t>
  </x:si>
  <x:si>
    <x:t xml:space="preserve">vn_entropy</x:t>
  </x:si>
  <x:si>
    <x:t xml:space="preserve">max_clique_size</x:t>
  </x:si>
  <x:si>
    <x:t xml:space="preserve">degree</x:t>
  </x:si>
  <x:si>
    <x:t xml:space="preserve">betweenness</x:t>
  </x:si>
  <x:si>
    <x:t xml:space="preserve">closeness</x:t>
  </x:si>
  <x:si>
    <x:t xml:space="preserve">mean_edge_length</x:t>
  </x:si>
  <x:si>
    <x:t xml:space="preserve">orc_scalar</x:t>
  </x:si>
  <x:si>
    <x:t xml:space="preserve">forman_scalar</x:t>
  </x:si>
  <x:si>
    <x:t xml:space="preserve">betweenness_z</x:t>
  </x:si>
  <x:si>
    <x:t xml:space="preserve">mean_edge_length_z</x:t>
  </x:si>
  <x:si>
    <x:t xml:space="preserve">orc_scalar_z</x:t>
  </x:si>
  <x:si>
    <x:t xml:space="preserve">mixture_score</x:t>
  </x:si>
  <x:si>
    <x:t xml:space="preserve">rank</x:t>
  </x:si>
  <x:si>
    <x:t xml:space="preserve">DM1</x:t>
  </x:si>
  <x:si>
    <x:t xml:space="preserve">DM2</x:t>
  </x:si>
  <x:si>
    <x:t xml:space="preserve">DM3</x:t>
  </x:si>
  <x:si>
    <x:t xml:space="preserve">eigenvalue</x:t>
  </x:si>
  <x:si>
    <x:t xml:space="preserve">eig0</x:t>
  </x:si>
  <x:si>
    <x:t xml:space="preserve">eig1</x:t>
  </x:si>
  <x:si>
    <x:t xml:space="preserve">eig2</x:t>
  </x:si>
  <x:si>
    <x:t xml:space="preserve">eig3</x:t>
  </x:si>
  <x:si>
    <x:t xml:space="preserve">u</x:t>
  </x:si>
  <x:si>
    <x:t xml:space="preserve">v</x:t>
  </x:si>
  <x:si>
    <x:t xml:space="preserve">distance</x:t>
  </x:si>
  <x:si>
    <x:t xml:space="preserve">orc_kappa</x:t>
  </x:si>
  <x:si>
    <x:t xml:space="preserve">forman_F</x:t>
  </x:si>
  <x:si>
    <x:t xml:space="preserve">triangles</x:t>
  </x:si>
  <x:si>
    <x:t xml:space="preserve">pool_sample</x:t>
  </x:si>
  <x:si>
    <x:t xml:space="preserve">residual_norm</x:t>
  </x:si>
  <x:si>
    <x:t xml:space="preserve">roc_auc_synthetic</x:t>
  </x:si>
  <x:si>
    <x:t xml:space="preserve">avg_precision_synthetic</x:t>
  </x:si>
  <x:si>
    <x:t xml:space="preserve">best_f1_synthetic</x:t>
  </x:si>
  <x:si>
    <x:t xml:space="preserve">best_threshold</x:t>
  </x:si>
  <x:si>
    <x:t xml:space="preserve">n_individual</x:t>
  </x:si>
  <x:si>
    <x:t xml:space="preserve">n_synthetic</x:t>
  </x:si>
  <x:si>
    <x:t xml:space="preserve">n_real_pools</x:t>
  </x:si>
  <x:si>
    <x:t xml:space="preserve">kmer</x:t>
  </x:si>
  <x:si>
    <x:t xml:space="preserve">sketch</x:t>
  </x:si>
  <x:si>
    <x:t xml:space="preserve">reads_per_sample</x:t>
  </x:si>
  <x:si>
    <x:t xml:space="preserve">knn</x:t>
  </x:si>
  <x:si>
    <x:t xml:space="preserve">orc_alpha</x:t>
  </x:si>
  <x:si>
    <x:t xml:space="preserve">use_r2</x:t>
  </x:si>
  <x:si>
    <x:t xml:space="preserve">seed</x:t>
  </x:si>
  <x:si>
    <x:t xml:space="preserve">label</x:t>
  </x:si>
  <x:si>
    <x:t xml:space="preserve">neg_orc_incidence</x:t>
  </x:si>
  <x:si>
    <x:t xml:space="preserve">mixture_score_ot</x:t>
  </x:si>
  <x:si>
    <x:t xml:space="preserve">SYNTH_028</x:t>
  </x:si>
  <x:si>
    <x:t xml:space="preserve">synthetic_pool</x:t>
  </x:si>
  <x:si>
    <x:t xml:space="preserve">SYNTH_004</x:t>
  </x:si>
  <x:si>
    <x:t xml:space="preserve">SYNTH_005</x:t>
  </x:si>
  <x:si>
    <x:t xml:space="preserve">SYNTH_024</x:t>
  </x:si>
  <x:si>
    <x:t xml:space="preserve">individual</x:t>
  </x:si>
  <x:si>
    <x:t xml:space="preserve">SYNTH_039</x:t>
  </x:si>
  <x:si>
    <x:t xml:space="preserve">SYNTH_040</x:t>
  </x:si>
  <x:si>
    <x:t xml:space="preserve">SYNTH_006</x:t>
  </x:si>
  <x:si>
    <x:t xml:space="preserve">SYNTH_030</x:t>
  </x:si>
  <x:si>
    <x:t xml:space="preserve">SYNTH_019</x:t>
  </x:si>
  <x:si>
    <x:t xml:space="preserve">SYNTH_012</x:t>
  </x:si>
  <x:si>
    <x:t xml:space="preserve">SYNTH_021</x:t>
  </x:si>
  <x:si>
    <x:t xml:space="preserve">SYNTH_023</x:t>
  </x:si>
  <x:si>
    <x:t xml:space="preserve">SYNTH_033</x:t>
  </x:si>
  <x:si>
    <x:t xml:space="preserve">SYNTH_014</x:t>
  </x:si>
  <x:si>
    <x:t xml:space="preserve">SYNTH_027</x:t>
  </x:si>
  <x:si>
    <x:t xml:space="preserve">SYNTH_013</x:t>
  </x:si>
  <x:si>
    <x:t xml:space="preserve">SYNTH_037</x:t>
  </x:si>
  <x:si>
    <x:t xml:space="preserve">SYNTH_020</x:t>
  </x:si>
  <x:si>
    <x:t xml:space="preserve">SYNTH_022</x:t>
  </x:si>
  <x:si>
    <x:t xml:space="preserve">SYNTH_026</x:t>
  </x:si>
  <x:si>
    <x:t xml:space="preserve">SYNTH_007</x:t>
  </x:si>
  <x:si>
    <x:t xml:space="preserve">SYNTH_034</x:t>
  </x:si>
  <x:si>
    <x:t xml:space="preserve">SYNTH_016</x:t>
  </x:si>
  <x:si>
    <x:t xml:space="preserve">SYNTH_035</x:t>
  </x:si>
  <x:si>
    <x:t xml:space="preserve">SYNTH_001</x:t>
  </x:si>
  <x:si>
    <x:t xml:space="preserve">SYNTH_036</x:t>
  </x:si>
  <x:si>
    <x:t xml:space="preserve">SYNTH_003</x:t>
  </x:si>
  <x:si>
    <x:t xml:space="preserve">SYNTH_008</x:t>
  </x:si>
  <x:si>
    <x:t xml:space="preserve">SYNTH_025</x:t>
  </x:si>
  <x:si>
    <x:t xml:space="preserve">SYNTH_038</x:t>
  </x:si>
  <x:si>
    <x:t xml:space="preserve">SYNTH_002</x:t>
  </x:si>
  <x:si>
    <x:t xml:space="preserve">SYNTH_010</x:t>
  </x:si>
  <x:si>
    <x:t xml:space="preserve">SYNTH_018</x:t>
  </x:si>
  <x:si>
    <x:t xml:space="preserve">SYNTH_017</x:t>
  </x:si>
  <x:si>
    <x:t xml:space="preserve">SYNTH_009</x:t>
  </x:si>
  <x:si>
    <x:t xml:space="preserve">SYNTH_015</x:t>
  </x:si>
  <x:si>
    <x:t xml:space="preserve">SYNTH_011</x:t>
  </x:si>
  <x:si>
    <x:t xml:space="preserve">SYNTH_032</x:t>
  </x:si>
  <x:si>
    <x:t xml:space="preserve">SYNTH_029</x:t>
  </x:si>
  <x:si>
    <x:t xml:space="preserve">SYNTH_031</x:t>
  </x:si>
  <x:si>
    <x:t xml:space="preserve">parents</x:t>
  </x:si>
  <x:si>
    <x:t xml:space="preserve">weights</x:t>
  </x:si>
  <x:si>
    <x:t xml:space="preserve">entropy_norm</x:t>
  </x:si>
  <x:si>
    <x:t xml:space="preserve">minor_fraction</x:t>
  </x:si>
  <x:si>
    <x:t xml:space="preserve">n_parents</x:t>
  </x:si>
  <x:si>
    <x:t xml:space="preserve">SRR17037623,SRR17037624</x:t>
  </x:si>
  <x:si>
    <x:t xml:space="preserve">0.8950,0.1050</x:t>
  </x:si>
  <x:si>
    <x:t xml:space="preserve">SRR17037611,SRR17037616</x:t>
  </x:si>
  <x:si>
    <x:t xml:space="preserve">0.3110,0.6890</x:t>
  </x:si>
  <x:si>
    <x:t xml:space="preserve">SRR17037615,SRR17037611,SRR17037625</x:t>
  </x:si>
  <x:si>
    <x:t xml:space="preserve">0.3396,0.5398,0.1206</x:t>
  </x:si>
  <x:si>
    <x:t xml:space="preserve">SRR17037612,SRR17037615,SRR17037614</x:t>
  </x:si>
  <x:si>
    <x:t xml:space="preserve">0.1934,0.5531,0.2535</x:t>
  </x:si>
  <x:si>
    <x:t xml:space="preserve">SRR17037627,SRR17037624</x:t>
  </x:si>
  <x:si>
    <x:t xml:space="preserve">0.5997,0.4003</x:t>
  </x:si>
  <x:si>
    <x:t xml:space="preserve">SRR17037612,SRR17037623,SRR17037624</x:t>
  </x:si>
  <x:si>
    <x:t xml:space="preserve">0.1646,0.5354,0.3000</x:t>
  </x:si>
  <x:si>
    <x:t xml:space="preserve">SRR17037610,SRR17037614,SRR17037616</x:t>
  </x:si>
  <x:si>
    <x:t xml:space="preserve">0.2226,0.2084,0.5690</x:t>
  </x:si>
  <x:si>
    <x:t xml:space="preserve">SRR17037615,SRR17037626,SRR17037617</x:t>
  </x:si>
  <x:si>
    <x:t xml:space="preserve">0.4913,0.4071,0.1016</x:t>
  </x:si>
  <x:si>
    <x:t xml:space="preserve">SRR17037627,SRR17037623</x:t>
  </x:si>
  <x:si>
    <x:t xml:space="preserve">0.1129,0.8871</x:t>
  </x:si>
  <x:si>
    <x:t xml:space="preserve">SRR17037623,SRR17037613</x:t>
  </x:si>
  <x:si>
    <x:t xml:space="preserve">0.4166,0.5834</x:t>
  </x:si>
  <x:si>
    <x:t xml:space="preserve">SRR17037613,SRR17037611</x:t>
  </x:si>
  <x:si>
    <x:t xml:space="preserve">0.4405,0.5595</x:t>
  </x:si>
  <x:si>
    <x:t xml:space="preserve">SRR17037616,SRR17037624,SRR17037610</x:t>
  </x:si>
  <x:si>
    <x:t xml:space="preserve">0.5013,0.3181,0.1806</x:t>
  </x:si>
  <x:si>
    <x:t xml:space="preserve">SRR17037614,SRR17037610,SRR17037615</x:t>
  </x:si>
  <x:si>
    <x:t xml:space="preserve">0.2216,0.5751,0.2032</x:t>
  </x:si>
  <x:si>
    <x:t xml:space="preserve">SRR17037617,SRR17037615,SRR17037614</x:t>
  </x:si>
  <x:si>
    <x:t xml:space="preserve">0.4526,0.3738,0.1737</x:t>
  </x:si>
  <x:si>
    <x:t xml:space="preserve">SRR17037623,SRR17037617,SRR17037616</x:t>
  </x:si>
  <x:si>
    <x:t xml:space="preserve">0.7092,0.1807,0.1101</x:t>
  </x:si>
  <x:si>
    <x:t xml:space="preserve">SRR17037617,SRR17037616,SRR17037614</x:t>
  </x:si>
  <x:si>
    <x:t xml:space="preserve">0.1338,0.5982,0.2680</x:t>
  </x:si>
  <x:si>
    <x:t xml:space="preserve">SRR17037615,SRR17037623</x:t>
  </x:si>
  <x:si>
    <x:t xml:space="preserve">0.3766,0.6234</x:t>
  </x:si>
  <x:si>
    <x:t xml:space="preserve">SRR17037625,SRR17037623</x:t>
  </x:si>
  <x:si>
    <x:t xml:space="preserve">0.6345,0.3655</x:t>
  </x:si>
  <x:si>
    <x:t xml:space="preserve">SRR17037611,SRR17037625</x:t>
  </x:si>
  <x:si>
    <x:t xml:space="preserve">0.3772,0.6228</x:t>
  </x:si>
  <x:si>
    <x:t xml:space="preserve">SRR17037616,SRR17037612,SRR17037626</x:t>
  </x:si>
  <x:si>
    <x:t xml:space="preserve">0.4432,0.3164,0.2404</x:t>
  </x:si>
  <x:si>
    <x:t xml:space="preserve">SRR17037617,SRR17037611</x:t>
  </x:si>
  <x:si>
    <x:t xml:space="preserve">0.7860,0.2140</x:t>
  </x:si>
  <x:si>
    <x:t xml:space="preserve">SRR17037624,SRR17037610,SRR17037614</x:t>
  </x:si>
  <x:si>
    <x:t xml:space="preserve">0.5431,0.1608,0.2961</x:t>
  </x:si>
  <x:si>
    <x:t xml:space="preserve">SRR17037616,SRR17037614,SRR17037615</x:t>
  </x:si>
  <x:si>
    <x:t xml:space="preserve">0.1211,0.6829,0.1959</x:t>
  </x:si>
  <x:si>
    <x:t xml:space="preserve">SRR17037624,SRR17037615,SRR17037613</x:t>
  </x:si>
  <x:si>
    <x:t xml:space="preserve">0.3393,0.5365,0.1242</x:t>
  </x:si>
  <x:si>
    <x:t xml:space="preserve">SRR17037614,SRR17037616</x:t>
  </x:si>
  <x:si>
    <x:t xml:space="preserve">0.8843,0.1157</x:t>
  </x:si>
  <x:si>
    <x:t xml:space="preserve">SRR17037617,SRR17037624</x:t>
  </x:si>
  <x:si>
    <x:t xml:space="preserve">0.3992,0.6008</x:t>
  </x:si>
  <x:si>
    <x:t xml:space="preserve">SRR17037626,SRR17037612,SRR17037625</x:t>
  </x:si>
  <x:si>
    <x:t xml:space="preserve">0.1433,0.2424,0.6142</x:t>
  </x:si>
  <x:si>
    <x:t xml:space="preserve">0.5379,0.4621</x:t>
  </x:si>
  <x:si>
    <x:t xml:space="preserve">SRR17037615,SRR17037625,SRR17037613</x:t>
  </x:si>
  <x:si>
    <x:t xml:space="preserve">0.1856,0.1141,0.7004</x:t>
  </x:si>
  <x:si>
    <x:t xml:space="preserve">SRR17037626,SRR17037611,SRR17037625</x:t>
  </x:si>
  <x:si>
    <x:t xml:space="preserve">0.3012,0.3761,0.3227</x:t>
  </x:si>
  <x:si>
    <x:t xml:space="preserve">SRR17037613,SRR17037610</x:t>
  </x:si>
  <x:si>
    <x:t xml:space="preserve">0.8100,0.1900</x:t>
  </x:si>
  <x:si>
    <x:t xml:space="preserve">SRR17037624,SRR17037611,SRR17037623</x:t>
  </x:si>
  <x:si>
    <x:t xml:space="preserve">0.2678,0.6066,0.1256</x:t>
  </x:si>
  <x:si>
    <x:t xml:space="preserve">SRR17037611,SRR17037617</x:t>
  </x:si>
  <x:si>
    <x:t xml:space="preserve">0.6164,0.3836</x:t>
  </x:si>
  <x:si>
    <x:t xml:space="preserve">SRR17037615,SRR17037616</x:t>
  </x:si>
  <x:si>
    <x:t xml:space="preserve">0.5247,0.4753</x:t>
  </x:si>
  <x:si>
    <x:t xml:space="preserve">SRR17037625,SRR17037610,SRR17037615</x:t>
  </x:si>
  <x:si>
    <x:t xml:space="preserve">0.6572,0.2217,0.1211</x:t>
  </x:si>
  <x:si>
    <x:t xml:space="preserve">SRR17037627,SRR17037610,SRR17037614</x:t>
  </x:si>
  <x:si>
    <x:t xml:space="preserve">0.5974,0.2076,0.1949</x:t>
  </x:si>
  <x:si>
    <x:t xml:space="preserve">SRR17037616,SRR17037624</x:t>
  </x:si>
  <x:si>
    <x:t xml:space="preserve">0.2812,0.7188</x:t>
  </x:si>
  <x:si>
    <x:t xml:space="preserve">SRR17037611,SRR17037614</x:t>
  </x:si>
  <x:si>
    <x:t xml:space="preserve">0.1502,0.8498</x:t>
  </x:si>
  <x:si>
    <x:t xml:space="preserve">SRR17037615,SRR17037624,SRR17037613</x:t>
  </x:si>
  <x:si>
    <x:t xml:space="preserve">0.3155,0.1579,0.5266</x:t>
  </x:si>
  <x:si>
    <x:t xml:space="preserve">SRR17037611,SRR17037610,SRR17037625</x:t>
  </x:si>
  <x:si>
    <x:t xml:space="preserve">0.6278,0.1053,0.2669</x:t>
  </x:si>
  <x:si>
    <x:t xml:space="preserve">affinity</x:t>
  </x:si>
  <x:si>
    <x:t xml:space="preserve">orc</x:t>
  </x:si>
  <x:si>
    <x:t xml:space="preserve">n_runs</x:t>
  </x:si>
  <x:si>
    <x:t xml:space="preserve">roc_auc_mean</x:t>
  </x:si>
  <x:si>
    <x:t xml:space="preserve">roc_auc_sd</x:t>
  </x:si>
  <x:si>
    <x:t xml:space="preserve">ap_mean</x:t>
  </x:si>
  <x:si>
    <x:t xml:space="preserve">ap_sd</x:t>
  </x:si>
  <x:si>
    <x:t xml:space="preserve">f1_mean</x:t>
  </x:si>
  <x:si>
    <x:t xml:space="preserve">f1_sd</x:t>
  </x:si>
  <x:si>
    <x:t xml:space="preserve">spearman_rho_mean</x:t>
  </x:si>
  <x:si>
    <x:t xml:space="preserve">spearman_rho_sd</x:t>
  </x:si>
  <x:si>
    <x:t xml:space="preserve">pearson_r_mean</x:t>
  </x:si>
  <x:si>
    <x:t xml:space="preserve">pearson_r_sd</x:t>
  </x:si>
  <x:si>
    <x:t xml:space="preserve">sweep_type</x:t>
  </x:si>
  <x:si>
    <x:t xml:space="preserve">param_name</x:t>
  </x:si>
  <x:si>
    <x:t xml:space="preserve">param_value</x:t>
  </x:si>
  <x:si>
    <x:t xml:space="preserve">run_dir</x:t>
  </x:si>
  <x:si>
    <x:t xml:space="preserve">roc_auc</x:t>
  </x:si>
  <x:si>
    <x:t xml:space="preserve">avg_precision</x:t>
  </x:si>
  <x:si>
    <x:t xml:space="preserve">best_f1</x:t>
  </x:si>
  <x:si>
    <x:t xml:space="preserve">spearman_rho</x:t>
  </x:si>
  <x:si>
    <x:t xml:space="preserve">spearman_p</x:t>
  </x:si>
  <x:si>
    <x:t xml:space="preserve">pearson_r</x:t>
  </x:si>
  <x:si>
    <x:t xml:space="preserve">pearson_p</x:t>
  </x:si>
  <x:si>
    <x:t xml:space="preserve">reads</x:t>
  </x:si>
  <x:si>
    <x:t xml:space="preserve">sensitivity_sweeps/runs_reads_3000/boot_01</x:t>
  </x:si>
  <x:si>
    <x:t xml:space="preserve">sensitivity_sweeps/runs_reads_3000/boot_02</x:t>
  </x:si>
  <x:si>
    <x:t xml:space="preserve">sensitivity_sweeps/runs_reads_3000/boot_03</x:t>
  </x:si>
  <x:si>
    <x:t xml:space="preserve">sensitivity_sweeps/runs_reads_3000/boot_04</x:t>
  </x:si>
  <x:si>
    <x:t xml:space="preserve">sensitivity_sweeps/runs_reads_3000/boot_05</x:t>
  </x:si>
  <x:si>
    <x:t xml:space="preserve">sensitivity_sweeps/runs_reads_3000/boot_06</x:t>
  </x:si>
  <x:si>
    <x:t xml:space="preserve">sensitivity_sweeps/runs_reads_3000/boot_07</x:t>
  </x:si>
  <x:si>
    <x:t xml:space="preserve">sensitivity_sweeps/runs_reads_3000/boot_08</x:t>
  </x:si>
  <x:si>
    <x:t xml:space="preserve">sensitivity_sweeps/runs_reads_3000/boot_09</x:t>
  </x:si>
  <x:si>
    <x:t xml:space="preserve">sensitivity_sweeps/runs_reads_3000/boot_10</x:t>
  </x:si>
  <x:si>
    <x:t xml:space="preserve">sensitivity_sweeps/runs_reads_3000/boot_11</x:t>
  </x:si>
  <x:si>
    <x:t xml:space="preserve">sensitivity_sweeps/runs_reads_3000/boot_12</x:t>
  </x:si>
  <x:si>
    <x:t xml:space="preserve">sensitivity_sweeps/runs_reads_3000/boot_13</x:t>
  </x:si>
  <x:si>
    <x:t xml:space="preserve">sensitivity_sweeps/runs_reads_3000/boot_14</x:t>
  </x:si>
  <x:si>
    <x:t xml:space="preserve">sensitivity_sweeps/runs_reads_3000/boot_15</x:t>
  </x:si>
  <x:si>
    <x:t xml:space="preserve">sensitivity_sweeps/runs_reads_3000/boot_16</x:t>
  </x:si>
  <x:si>
    <x:t xml:space="preserve">sensitivity_sweeps/runs_reads_3000/boot_17</x:t>
  </x:si>
  <x:si>
    <x:t xml:space="preserve">sensitivity_sweeps/runs_reads_3000/boot_18</x:t>
  </x:si>
  <x:si>
    <x:t xml:space="preserve">sensitivity_sweeps/runs_reads_3000/boot_19</x:t>
  </x:si>
  <x:si>
    <x:t xml:space="preserve">sensitivity_sweeps/runs_reads_3000/boot_20</x:t>
  </x:si>
  <x:si>
    <x:t xml:space="preserve">sensitivity_sweeps/runs_reads_3000/boot_21</x:t>
  </x:si>
  <x:si>
    <x:t xml:space="preserve">sensitivity_sweeps/runs_reads_3000/boot_22</x:t>
  </x:si>
  <x:si>
    <x:t xml:space="preserve">sensitivity_sweeps/runs_reads_3000/boot_23</x:t>
  </x:si>
  <x:si>
    <x:t xml:space="preserve">sensitivity_sweeps/runs_reads_3000/boot_24</x:t>
  </x:si>
  <x:si>
    <x:t xml:space="preserve">sensitivity_sweeps/runs_reads_3000/boot_25</x:t>
  </x:si>
  <x:si>
    <x:t xml:space="preserve">sensitivity_sweeps/runs_reads_3000/boot_26</x:t>
  </x:si>
  <x:si>
    <x:t xml:space="preserve">sensitivity_sweeps/runs_reads_3000/boot_27</x:t>
  </x:si>
  <x:si>
    <x:t xml:space="preserve">sensitivity_sweeps/runs_reads_3000/boot_28</x:t>
  </x:si>
  <x:si>
    <x:t xml:space="preserve">sensitivity_sweeps/runs_reads_3000/boot_29</x:t>
  </x:si>
  <x:si>
    <x:t xml:space="preserve">sensitivity_sweeps/runs_reads_3000/boot_30</x:t>
  </x:si>
  <x:si>
    <x:t xml:space="preserve">sensitivity_sweeps/runs_reads_6000/boot_01</x:t>
  </x:si>
  <x:si>
    <x:t xml:space="preserve">sensitivity_sweeps/runs_reads_6000/boot_02</x:t>
  </x:si>
  <x:si>
    <x:t xml:space="preserve">sensitivity_sweeps/runs_reads_6000/boot_03</x:t>
  </x:si>
  <x:si>
    <x:t xml:space="preserve">sensitivity_sweeps/runs_reads_6000/boot_04</x:t>
  </x:si>
  <x:si>
    <x:t xml:space="preserve">sensitivity_sweeps/runs_reads_6000/boot_05</x:t>
  </x:si>
  <x:si>
    <x:t xml:space="preserve">sensitivity_sweeps/runs_reads_6000/boot_06</x:t>
  </x:si>
  <x:si>
    <x:t xml:space="preserve">sensitivity_sweeps/runs_reads_6000/boot_07</x:t>
  </x:si>
  <x:si>
    <x:t xml:space="preserve">sensitivity_sweeps/runs_reads_6000/boot_08</x:t>
  </x:si>
  <x:si>
    <x:t xml:space="preserve">sensitivity_sweeps/runs_reads_6000/boot_09</x:t>
  </x:si>
  <x:si>
    <x:t xml:space="preserve">sensitivity_sweeps/runs_reads_6000/boot_10</x:t>
  </x:si>
  <x:si>
    <x:t xml:space="preserve">sensitivity_sweeps/runs_reads_6000/boot_11</x:t>
  </x:si>
  <x:si>
    <x:t xml:space="preserve">sensitivity_sweeps/runs_reads_6000/boot_12</x:t>
  </x:si>
  <x:si>
    <x:t xml:space="preserve">sensitivity_sweeps/runs_reads_6000/boot_13</x:t>
  </x:si>
  <x:si>
    <x:t xml:space="preserve">sensitivity_sweeps/runs_reads_6000/boot_14</x:t>
  </x:si>
  <x:si>
    <x:t xml:space="preserve">sensitivity_sweeps/runs_reads_6000/boot_15</x:t>
  </x:si>
  <x:si>
    <x:t xml:space="preserve">sensitivity_sweeps/runs_reads_6000/boot_16</x:t>
  </x:si>
  <x:si>
    <x:t xml:space="preserve">sensitivity_sweeps/runs_reads_6000/boot_17</x:t>
  </x:si>
  <x:si>
    <x:t xml:space="preserve">sensitivity_sweeps/runs_reads_6000/boot_18</x:t>
  </x:si>
  <x:si>
    <x:t xml:space="preserve">sensitivity_sweeps/runs_reads_6000/boot_19</x:t>
  </x:si>
  <x:si>
    <x:t xml:space="preserve">sensitivity_sweeps/runs_reads_6000/boot_20</x:t>
  </x:si>
  <x:si>
    <x:t xml:space="preserve">sensitivity_sweeps/runs_reads_6000/boot_21</x:t>
  </x:si>
  <x:si>
    <x:t xml:space="preserve">sensitivity_sweeps/runs_reads_6000/boot_22</x:t>
  </x:si>
  <x:si>
    <x:t xml:space="preserve">sensitivity_sweeps/runs_reads_6000/boot_23</x:t>
  </x:si>
  <x:si>
    <x:t xml:space="preserve">sensitivity_sweeps/runs_reads_6000/boot_24</x:t>
  </x:si>
  <x:si>
    <x:t xml:space="preserve">sensitivity_sweeps/runs_reads_6000/boot_25</x:t>
  </x:si>
  <x:si>
    <x:t xml:space="preserve">sensitivity_sweeps/runs_reads_6000/boot_26</x:t>
  </x:si>
  <x:si>
    <x:t xml:space="preserve">sensitivity_sweeps/runs_reads_6000/boot_27</x:t>
  </x:si>
  <x:si>
    <x:t xml:space="preserve">sensitivity_sweeps/runs_reads_6000/boot_28</x:t>
  </x:si>
  <x:si>
    <x:t xml:space="preserve">sensitivity_sweeps/runs_reads_6000/boot_29</x:t>
  </x:si>
  <x:si>
    <x:t xml:space="preserve">sensitivity_sweeps/runs_reads_6000/boot_30</x:t>
  </x:si>
  <x:si>
    <x:t xml:space="preserve">sensitivity_sweeps/runs_reads_12000/boot_01</x:t>
  </x:si>
  <x:si>
    <x:t xml:space="preserve">sensitivity_sweeps/runs_reads_12000/boot_02</x:t>
  </x:si>
  <x:si>
    <x:t xml:space="preserve">sensitivity_sweeps/runs_reads_12000/boot_03</x:t>
  </x:si>
  <x:si>
    <x:t xml:space="preserve">sensitivity_sweeps/runs_reads_12000/boot_04</x:t>
  </x:si>
  <x:si>
    <x:t xml:space="preserve">sensitivity_sweeps/runs_reads_12000/boot_05</x:t>
  </x:si>
  <x:si>
    <x:t xml:space="preserve">sensitivity_sweeps/runs_reads_12000/boot_06</x:t>
  </x:si>
  <x:si>
    <x:t xml:space="preserve">sensitivity_sweeps/runs_reads_12000/boot_07</x:t>
  </x:si>
  <x:si>
    <x:t xml:space="preserve">sensitivity_sweeps/runs_reads_12000/boot_08</x:t>
  </x:si>
  <x:si>
    <x:t xml:space="preserve">sensitivity_sweeps/runs_reads_12000/boot_09</x:t>
  </x:si>
  <x:si>
    <x:t xml:space="preserve">sensitivity_sweeps/runs_reads_12000/boot_10</x:t>
  </x:si>
  <x:si>
    <x:t xml:space="preserve">sensitivity_sweeps/runs_reads_12000/boot_11</x:t>
  </x:si>
  <x:si>
    <x:t xml:space="preserve">sensitivity_sweeps/runs_reads_12000/boot_12</x:t>
  </x:si>
  <x:si>
    <x:t xml:space="preserve">sensitivity_sweeps/runs_reads_12000/boot_13</x:t>
  </x:si>
  <x:si>
    <x:t xml:space="preserve">sensitivity_sweeps/runs_reads_12000/boot_14</x:t>
  </x:si>
  <x:si>
    <x:t xml:space="preserve">sensitivity_sweeps/runs_reads_12000/boot_15</x:t>
  </x:si>
  <x:si>
    <x:t xml:space="preserve">sensitivity_sweeps/runs_reads_12000/boot_16</x:t>
  </x:si>
  <x:si>
    <x:t xml:space="preserve">sensitivity_sweeps/runs_reads_12000/boot_17</x:t>
  </x:si>
  <x:si>
    <x:t xml:space="preserve">sensitivity_sweeps/runs_reads_12000/boot_18</x:t>
  </x:si>
  <x:si>
    <x:t xml:space="preserve">sensitivity_sweeps/runs_reads_12000/boot_19</x:t>
  </x:si>
  <x:si>
    <x:t xml:space="preserve">sensitivity_sweeps/runs_reads_12000/boot_20</x:t>
  </x:si>
  <x:si>
    <x:t xml:space="preserve">sensitivity_sweeps/runs_reads_12000/boot_21</x:t>
  </x:si>
  <x:si>
    <x:t xml:space="preserve">sensitivity_sweeps/runs_reads_12000/boot_22</x:t>
  </x:si>
  <x:si>
    <x:t xml:space="preserve">sensitivity_sweeps/runs_reads_12000/boot_23</x:t>
  </x:si>
  <x:si>
    <x:t xml:space="preserve">sensitivity_sweeps/runs_reads_12000/boot_24</x:t>
  </x:si>
  <x:si>
    <x:t xml:space="preserve">sensitivity_sweeps/runs_reads_12000/boot_25</x:t>
  </x:si>
  <x:si>
    <x:t xml:space="preserve">sensitivity_sweeps/runs_reads_12000/boot_26</x:t>
  </x:si>
  <x:si>
    <x:t xml:space="preserve">sensitivity_sweeps/runs_reads_12000/boot_27</x:t>
  </x:si>
  <x:si>
    <x:t xml:space="preserve">sensitivity_sweeps/runs_reads_12000/boot_28</x:t>
  </x:si>
  <x:si>
    <x:t xml:space="preserve">sensitivity_sweeps/runs_reads_12000/boot_29</x:t>
  </x:si>
  <x:si>
    <x:t xml:space="preserve">sensitivity_sweeps/runs_reads_12000/boot_30</x:t>
  </x:si>
  <x:si>
    <x:t xml:space="preserve">sensitivity_sweeps/runs_kmer_15/boot_01</x:t>
  </x:si>
  <x:si>
    <x:t xml:space="preserve">sensitivity_sweeps/runs_kmer_15/boot_02</x:t>
  </x:si>
  <x:si>
    <x:t xml:space="preserve">sensitivity_sweeps/runs_kmer_15/boot_03</x:t>
  </x:si>
  <x:si>
    <x:t xml:space="preserve">sensitivity_sweeps/runs_kmer_15/boot_04</x:t>
  </x:si>
  <x:si>
    <x:t xml:space="preserve">sensitivity_sweeps/runs_kmer_15/boot_05</x:t>
  </x:si>
  <x:si>
    <x:t xml:space="preserve">sensitivity_sweeps/runs_kmer_15/boot_06</x:t>
  </x:si>
  <x:si>
    <x:t xml:space="preserve">sensitivity_sweeps/runs_kmer_15/boot_07</x:t>
  </x:si>
  <x:si>
    <x:t xml:space="preserve">sensitivity_sweeps/runs_kmer_15/boot_08</x:t>
  </x:si>
  <x:si>
    <x:t xml:space="preserve">sensitivity_sweeps/runs_kmer_15/boot_09</x:t>
  </x:si>
  <x:si>
    <x:t xml:space="preserve">sensitivity_sweeps/runs_kmer_15/boot_10</x:t>
  </x:si>
  <x:si>
    <x:t xml:space="preserve">sensitivity_sweeps/runs_kmer_15/boot_11</x:t>
  </x:si>
  <x:si>
    <x:t xml:space="preserve">sensitivity_sweeps/runs_kmer_15/boot_12</x:t>
  </x:si>
  <x:si>
    <x:t xml:space="preserve">sensitivity_sweeps/runs_kmer_15/boot_13</x:t>
  </x:si>
  <x:si>
    <x:t xml:space="preserve">sensitivity_sweeps/runs_kmer_15/boot_14</x:t>
  </x:si>
  <x:si>
    <x:t xml:space="preserve">sensitivity_sweeps/runs_kmer_15/boot_15</x:t>
  </x:si>
  <x:si>
    <x:t xml:space="preserve">sensitivity_sweeps/runs_kmer_15/boot_16</x:t>
  </x:si>
  <x:si>
    <x:t xml:space="preserve">sensitivity_sweeps/runs_kmer_15/boot_17</x:t>
  </x:si>
  <x:si>
    <x:t xml:space="preserve">sensitivity_sweeps/runs_kmer_15/boot_18</x:t>
  </x:si>
  <x:si>
    <x:t xml:space="preserve">sensitivity_sweeps/runs_kmer_15/boot_19</x:t>
  </x:si>
  <x:si>
    <x:t xml:space="preserve">sensitivity_sweeps/runs_kmer_15/boot_20</x:t>
  </x:si>
  <x:si>
    <x:t xml:space="preserve">sensitivity_sweeps/runs_kmer_15/boot_21</x:t>
  </x:si>
  <x:si>
    <x:t xml:space="preserve">sensitivity_sweeps/runs_kmer_15/boot_22</x:t>
  </x:si>
  <x:si>
    <x:t xml:space="preserve">sensitivity_sweeps/runs_kmer_15/boot_23</x:t>
  </x:si>
  <x:si>
    <x:t xml:space="preserve">sensitivity_sweeps/runs_kmer_15/boot_24</x:t>
  </x:si>
  <x:si>
    <x:t xml:space="preserve">sensitivity_sweeps/runs_kmer_15/boot_25</x:t>
  </x:si>
  <x:si>
    <x:t xml:space="preserve">sensitivity_sweeps/runs_kmer_15/boot_26</x:t>
  </x:si>
  <x:si>
    <x:t xml:space="preserve">sensitivity_sweeps/runs_kmer_15/boot_27</x:t>
  </x:si>
  <x:si>
    <x:t xml:space="preserve">sensitivity_sweeps/runs_kmer_15/boot_28</x:t>
  </x:si>
  <x:si>
    <x:t xml:space="preserve">sensitivity_sweeps/runs_kmer_15/boot_29</x:t>
  </x:si>
  <x:si>
    <x:t xml:space="preserve">sensitivity_sweeps/runs_kmer_15/boot_30</x:t>
  </x:si>
  <x:si>
    <x:t xml:space="preserve">sensitivity_sweeps/runs_kmer_17/boot_01</x:t>
  </x:si>
  <x:si>
    <x:t xml:space="preserve">sensitivity_sweeps/runs_kmer_17/boot_02</x:t>
  </x:si>
  <x:si>
    <x:t xml:space="preserve">sensitivity_sweeps/runs_kmer_17/boot_03</x:t>
  </x:si>
  <x:si>
    <x:t xml:space="preserve">sensitivity_sweeps/runs_kmer_17/boot_04</x:t>
  </x:si>
  <x:si>
    <x:t xml:space="preserve">sensitivity_sweeps/runs_kmer_17/boot_05</x:t>
  </x:si>
  <x:si>
    <x:t xml:space="preserve">sensitivity_sweeps/runs_kmer_17/boot_06</x:t>
  </x:si>
  <x:si>
    <x:t xml:space="preserve">sensitivity_sweeps/runs_kmer_17/boot_07</x:t>
  </x:si>
  <x:si>
    <x:t xml:space="preserve">sensitivity_sweeps/runs_kmer_17/boot_08</x:t>
  </x:si>
  <x:si>
    <x:t xml:space="preserve">sensitivity_sweeps/runs_kmer_17/boot_09</x:t>
  </x:si>
  <x:si>
    <x:t xml:space="preserve">sensitivity_sweeps/runs_kmer_17/boot_10</x:t>
  </x:si>
  <x:si>
    <x:t xml:space="preserve">sensitivity_sweeps/runs_kmer_17/boot_11</x:t>
  </x:si>
  <x:si>
    <x:t xml:space="preserve">sensitivity_sweeps/runs_kmer_17/boot_12</x:t>
  </x:si>
  <x:si>
    <x:t xml:space="preserve">sensitivity_sweeps/runs_kmer_17/boot_13</x:t>
  </x:si>
  <x:si>
    <x:t xml:space="preserve">sensitivity_sweeps/runs_kmer_17/boot_14</x:t>
  </x:si>
  <x:si>
    <x:t xml:space="preserve">sensitivity_sweeps/runs_kmer_17/boot_15</x:t>
  </x:si>
  <x:si>
    <x:t xml:space="preserve">sensitivity_sweeps/runs_kmer_17/boot_16</x:t>
  </x:si>
  <x:si>
    <x:t xml:space="preserve">sensitivity_sweeps/runs_kmer_17/boot_17</x:t>
  </x:si>
  <x:si>
    <x:t xml:space="preserve">sensitivity_sweeps/runs_kmer_17/boot_18</x:t>
  </x:si>
  <x:si>
    <x:t xml:space="preserve">sensitivity_sweeps/runs_kmer_17/boot_19</x:t>
  </x:si>
  <x:si>
    <x:t xml:space="preserve">sensitivity_sweeps/runs_kmer_17/boot_20</x:t>
  </x:si>
  <x:si>
    <x:t xml:space="preserve">sensitivity_sweeps/runs_kmer_17/boot_21</x:t>
  </x:si>
  <x:si>
    <x:t xml:space="preserve">sensitivity_sweeps/runs_kmer_17/boot_22</x:t>
  </x:si>
  <x:si>
    <x:t xml:space="preserve">sensitivity_sweeps/runs_kmer_17/boot_23</x:t>
  </x:si>
  <x:si>
    <x:t xml:space="preserve">sensitivity_sweeps/runs_kmer_17/boot_24</x:t>
  </x:si>
  <x:si>
    <x:t xml:space="preserve">sensitivity_sweeps/runs_kmer_17/boot_25</x:t>
  </x:si>
  <x:si>
    <x:t xml:space="preserve">sensitivity_sweeps/runs_kmer_17/boot_26</x:t>
  </x:si>
  <x:si>
    <x:t xml:space="preserve">sensitivity_sweeps/runs_kmer_17/boot_27</x:t>
  </x:si>
  <x:si>
    <x:t xml:space="preserve">sensitivity_sweeps/runs_kmer_17/boot_28</x:t>
  </x:si>
  <x:si>
    <x:t xml:space="preserve">sensitivity_sweeps/runs_kmer_17/boot_29</x:t>
  </x:si>
  <x:si>
    <x:t xml:space="preserve">sensitivity_sweeps/runs_kmer_17/boot_30</x:t>
  </x:si>
  <x:si>
    <x:t xml:space="preserve">sensitivity_sweeps/runs_kmer_19/boot_01</x:t>
  </x:si>
  <x:si>
    <x:t xml:space="preserve">sensitivity_sweeps/runs_kmer_19/boot_02</x:t>
  </x:si>
  <x:si>
    <x:t xml:space="preserve">sensitivity_sweeps/runs_kmer_19/boot_03</x:t>
  </x:si>
  <x:si>
    <x:t xml:space="preserve">sensitivity_sweeps/runs_kmer_19/boot_04</x:t>
  </x:si>
  <x:si>
    <x:t xml:space="preserve">sensitivity_sweeps/runs_kmer_19/boot_05</x:t>
  </x:si>
  <x:si>
    <x:t xml:space="preserve">sensitivity_sweeps/runs_kmer_19/boot_06</x:t>
  </x:si>
  <x:si>
    <x:t xml:space="preserve">sensitivity_sweeps/runs_kmer_19/boot_07</x:t>
  </x:si>
  <x:si>
    <x:t xml:space="preserve">sensitivity_sweeps/runs_kmer_19/boot_08</x:t>
  </x:si>
  <x:si>
    <x:t xml:space="preserve">sensitivity_sweeps/runs_kmer_19/boot_09</x:t>
  </x:si>
  <x:si>
    <x:t xml:space="preserve">sensitivity_sweeps/runs_kmer_19/boot_10</x:t>
  </x:si>
  <x:si>
    <x:t xml:space="preserve">sensitivity_sweeps/runs_kmer_19/boot_11</x:t>
  </x:si>
  <x:si>
    <x:t xml:space="preserve">sensitivity_sweeps/runs_kmer_19/boot_12</x:t>
  </x:si>
  <x:si>
    <x:t xml:space="preserve">sensitivity_sweeps/runs_kmer_19/boot_13</x:t>
  </x:si>
  <x:si>
    <x:t xml:space="preserve">sensitivity_sweeps/runs_kmer_19/boot_14</x:t>
  </x:si>
  <x:si>
    <x:t xml:space="preserve">sensitivity_sweeps/runs_kmer_19/boot_15</x:t>
  </x:si>
  <x:si>
    <x:t xml:space="preserve">sensitivity_sweeps/runs_kmer_19/boot_16</x:t>
  </x:si>
  <x:si>
    <x:t xml:space="preserve">sensitivity_sweeps/runs_kmer_19/boot_17</x:t>
  </x:si>
  <x:si>
    <x:t xml:space="preserve">sensitivity_sweeps/runs_kmer_19/boot_18</x:t>
  </x:si>
  <x:si>
    <x:t xml:space="preserve">sensitivity_sweeps/runs_kmer_19/boot_19</x:t>
  </x:si>
  <x:si>
    <x:t xml:space="preserve">sensitivity_sweeps/runs_kmer_19/boot_20</x:t>
  </x:si>
  <x:si>
    <x:t xml:space="preserve">sensitivity_sweeps/runs_kmer_19/boot_21</x:t>
  </x:si>
  <x:si>
    <x:t xml:space="preserve">sensitivity_sweeps/runs_kmer_19/boot_22</x:t>
  </x:si>
  <x:si>
    <x:t xml:space="preserve">sensitivity_sweeps/runs_kmer_19/boot_23</x:t>
  </x:si>
  <x:si>
    <x:t xml:space="preserve">sensitivity_sweeps/runs_kmer_19/boot_24</x:t>
  </x:si>
  <x:si>
    <x:t xml:space="preserve">sensitivity_sweeps/runs_kmer_19/boot_25</x:t>
  </x:si>
  <x:si>
    <x:t xml:space="preserve">sensitivity_sweeps/runs_kmer_19/boot_26</x:t>
  </x:si>
  <x:si>
    <x:t xml:space="preserve">sensitivity_sweeps/runs_kmer_19/boot_27</x:t>
  </x:si>
  <x:si>
    <x:t xml:space="preserve">sensitivity_sweeps/runs_kmer_19/boot_28</x:t>
  </x:si>
  <x:si>
    <x:t xml:space="preserve">sensitivity_sweeps/runs_kmer_19/boot_29</x:t>
  </x:si>
  <x:si>
    <x:t xml:space="preserve">sensitivity_sweeps/runs_kmer_19/boot_30</x:t>
  </x:si>
  <x:si>
    <x:t xml:space="preserve">sensitivity_sweeps/runs_kmer_21/boot_01</x:t>
  </x:si>
  <x:si>
    <x:t xml:space="preserve">sensitivity_sweeps/runs_kmer_21/boot_02</x:t>
  </x:si>
  <x:si>
    <x:t xml:space="preserve">sensitivity_sweeps/runs_kmer_21/boot_03</x:t>
  </x:si>
  <x:si>
    <x:t xml:space="preserve">sensitivity_sweeps/runs_kmer_21/boot_04</x:t>
  </x:si>
  <x:si>
    <x:t xml:space="preserve">sensitivity_sweeps/runs_kmer_21/boot_05</x:t>
  </x:si>
  <x:si>
    <x:t xml:space="preserve">sensitivity_sweeps/runs_kmer_21/boot_06</x:t>
  </x:si>
  <x:si>
    <x:t xml:space="preserve">sensitivity_sweeps/runs_kmer_21/boot_07</x:t>
  </x:si>
  <x:si>
    <x:t xml:space="preserve">sensitivity_sweeps/runs_kmer_21/boot_08</x:t>
  </x:si>
  <x:si>
    <x:t xml:space="preserve">sensitivity_sweeps/runs_kmer_21/boot_09</x:t>
  </x:si>
  <x:si>
    <x:t xml:space="preserve">sensitivity_sweeps/runs_kmer_21/boot_10</x:t>
  </x:si>
  <x:si>
    <x:t xml:space="preserve">sensitivity_sweeps/runs_kmer_21/boot_11</x:t>
  </x:si>
  <x:si>
    <x:t xml:space="preserve">sensitivity_sweeps/runs_kmer_21/boot_12</x:t>
  </x:si>
  <x:si>
    <x:t xml:space="preserve">sensitivity_sweeps/runs_kmer_21/boot_13</x:t>
  </x:si>
  <x:si>
    <x:t xml:space="preserve">sensitivity_sweeps/runs_kmer_21/boot_14</x:t>
  </x:si>
  <x:si>
    <x:t xml:space="preserve">sensitivity_sweeps/runs_kmer_21/boot_15</x:t>
  </x:si>
  <x:si>
    <x:t xml:space="preserve">sensitivity_sweeps/runs_kmer_21/boot_16</x:t>
  </x:si>
  <x:si>
    <x:t xml:space="preserve">sensitivity_sweeps/runs_kmer_21/boot_17</x:t>
  </x:si>
  <x:si>
    <x:t xml:space="preserve">sensitivity_sweeps/runs_kmer_21/boot_18</x:t>
  </x:si>
  <x:si>
    <x:t xml:space="preserve">sensitivity_sweeps/runs_kmer_21/boot_19</x:t>
  </x:si>
  <x:si>
    <x:t xml:space="preserve">sensitivity_sweeps/runs_kmer_21/boot_20</x:t>
  </x:si>
  <x:si>
    <x:t xml:space="preserve">sensitivity_sweeps/runs_kmer_21/boot_21</x:t>
  </x:si>
  <x:si>
    <x:t xml:space="preserve">sensitivity_sweeps/runs_kmer_21/boot_22</x:t>
  </x:si>
  <x:si>
    <x:t xml:space="preserve">sensitivity_sweeps/runs_kmer_21/boot_23</x:t>
  </x:si>
  <x:si>
    <x:t xml:space="preserve">sensitivity_sweeps/runs_kmer_21/boot_24</x:t>
  </x:si>
  <x:si>
    <x:t xml:space="preserve">sensitivity_sweeps/runs_kmer_21/boot_25</x:t>
  </x:si>
  <x:si>
    <x:t xml:space="preserve">sensitivity_sweeps/runs_kmer_21/boot_26</x:t>
  </x:si>
  <x:si>
    <x:t xml:space="preserve">sensitivity_sweeps/runs_kmer_21/boot_27</x:t>
  </x:si>
  <x:si>
    <x:t xml:space="preserve">sensitivity_sweeps/runs_kmer_21/boot_28</x:t>
  </x:si>
  <x:si>
    <x:t xml:space="preserve">sensitivity_sweeps/runs_kmer_21/boot_29</x:t>
  </x:si>
  <x:si>
    <x:t xml:space="preserve">sensitivity_sweeps/runs_kmer_21/boot_30</x:t>
  </x:si>
  <x:si>
    <x:t xml:space="preserve">Metric</x:t>
  </x:si>
  <x:si>
    <x:t xml:space="preserve">Value</x:t>
  </x:si>
  <x:si>
    <x:t xml:space="preserve">Interpretation</x:t>
  </x:si>
  <x:si>
    <x:t xml:space="preserve">Spearman helper</x:t>
  </x:si>
  <x:si>
    <x:t xml:space="preserve">Jaccard helper</x:t>
  </x:si>
  <x:si>
    <x:t xml:space="preserve">k sweep</x:t>
  </x:si>
  <x:si>
    <x:t xml:space="preserve">3-7</x:t>
  </x:si>
  <x:si>
    <x:t xml:space="preserve">Symmetric kNN graph parameter sweep across k = 3-7.</x:t>
  </x:si>
  <x:si>
    <x:t xml:space="preserve">Top-n candidate set</x:t>
  </x:si>
  <x:si>
    <x:t xml:space="preserve">Top-5 candidates compared across k values.</x:t>
  </x:si>
  <x:si>
    <x:t xml:space="preserve">Union size</x:t>
  </x:si>
  <x:si>
    <x:t xml:space="preserve">Unique samples appearing in at least one Top-5 list.</x:t>
  </x:si>
  <x:si>
    <x:t xml:space="preserve">Intersection size</x:t>
  </x:si>
  <x:si>
    <x:t xml:space="preserve">Samples shared by every Top-5 list across the sweep.</x:t>
  </x:si>
  <x:si>
    <x:t xml:space="preserve">Intersection samples</x:t>
  </x:si>
  <x:si>
    <x:t xml:space="preserve">Invariant sample(s) across all Top-5 lists.</x:t>
  </x:si>
  <x:si>
    <x:t xml:space="preserve">Mean Spearman rho</x:t>
  </x:si>
  <x:si>
    <x:t xml:space="preserve">Mean pairwise rank-correlation across all samples.</x:t>
  </x:si>
  <x:si>
    <x:t xml:space="preserve">Min Spearman rho</x:t>
  </x:si>
  <x:si>
    <x:t xml:space="preserve">Minimum pairwise rank-correlation across all samples.</x:t>
  </x:si>
  <x:si>
    <x:t xml:space="preserve">Max Spearman rho</x:t>
  </x:si>
  <x:si>
    <x:t xml:space="preserve">Maximum pairwise rank-correlation across all samples.</x:t>
  </x:si>
  <x:si>
    <x:t xml:space="preserve">Mean Jaccard top-5</x:t>
  </x:si>
  <x:si>
    <x:t xml:space="preserve">Mean pairwise Jaccard overlap of Top-5 sets.</x:t>
  </x:si>
  <x:si>
    <x:t xml:space="preserve">Min Jaccard top-5</x:t>
  </x:si>
  <x:si>
    <x:t xml:space="preserve">Minimum pairwise Jaccard overlap of Top-5 sets.</x:t>
  </x:si>
  <x:si>
    <x:t xml:space="preserve">Max Jaccard top-5</x:t>
  </x:si>
  <x:si>
    <x:t xml:space="preserve">Maximum pairwise Jaccard overlap of Top-5 sets.</x:t>
  </x:si>
  <x:si>
    <x:t xml:space="preserve">results_dir</x:t>
  </x:si>
  <x:si>
    <x:t xml:space="preserve">outdir</x:t>
  </x:si>
  <x:si>
    <x:t xml:space="preserve">knn_values</x:t>
  </x:si>
  <x:si>
    <x:t xml:space="preserve">top_n</x:t>
  </x:si>
  <x:si>
    <x:t xml:space="preserve">alpha</x:t>
  </x:si>
  <x:si>
    <x:t xml:space="preserve">n_thresholds</x:t>
  </x:si>
  <x:si>
    <x:t xml:space="preserve">topk_marked</x:t>
  </x:si>
  <x:si>
    <x:t xml:space="preserve">knn_sweep</x:t>
  </x:si>
  <x:si>
    <x:t xml:space="preserve">3,4,5,6,7</x:t>
  </x:si>
  <x:si>
    <x:t xml:space="preserve">union_size</x:t>
  </x:si>
  <x:si>
    <x:t xml:space="preserve">intersection_size</x:t>
  </x:si>
  <x:si>
    <x:t xml:space="preserve">intersection_samples</x:t>
  </x:si>
  <x:si>
    <x:t xml:space="preserve">k03</x:t>
  </x:si>
  <x:si>
    <x:t xml:space="preserve">k04</x:t>
  </x:si>
  <x:si>
    <x:t xml:space="preserve">k05</x:t>
  </x:si>
  <x:si>
    <x:t xml:space="preserve">k06</x:t>
  </x:si>
  <x:si>
    <x:t xml:space="preserve">k07</x:t>
  </x:si>
  <x:si>
    <x:t xml:space="preserve">return_code</x:t>
  </x:si>
  <x:si>
    <x:t xml:space="preserve">wall_seconds</x:t>
  </x:si>
  <x:si>
    <x:t xml:space="preserve">peak_rss_gb</x:t>
  </x:si>
  <x:si>
    <x:t xml:space="preserve">01_run_preprocessing</x:t>
  </x:si>
  <x:si>
    <x:t xml:space="preserve">02_run_geometry_analysis</x:t>
  </x:si>
  <x:si>
    <x:t xml:space="preserve">03_run_synthetic_validation</x:t>
  </x:si>
  <x:si>
    <x:t xml:space="preserve">s4_path</x:t>
  </x:si>
  <x:si>
    <x:t xml:space="preserve">n_rows</x:t>
  </x:si>
  <x:si>
    <x:t xml:space="preserve">n_pools</x:t>
  </x:si>
  <x:si>
    <x:t xml:space="preserve">n_individuals</x:t>
  </x:si>
  <x:si>
    <x:t xml:space="preserve">has_entropy_norm</x:t>
  </x:si>
  <x:si>
    <x:t xml:space="preserve">synthetic/Supplementary_Data_S4_SyntheticMixing.xlsx</x:t>
  </x:si>
</x:sst>
</file>

<file path=xl/styles.xml><?xml version="1.0" encoding="utf-8"?>
<x:styleSheet xmlns:x="http://schemas.openxmlformats.org/spreadsheetml/2006/main">
  <x:numFmts count="1">
    <x:numFmt numFmtId="164" formatCode="0.0000"/>
  </x:numFmts>
  <x:fonts count="4">
    <x:font>
      <x:sz val="11"/>
      <x:color theme="1"/>
      <x:name val="Calibri"/>
    </x:font>
    <x:font>
      <x:b/>
      <x:sz val="14"/>
      <x:color rgb="FFFFFFFF"/>
      <x:name val="Calibri"/>
    </x:font>
    <x:font>
      <x:b/>
      <x:sz val="11"/>
      <x:color rgb="FFFFFFFF"/>
      <x:name val="Calibri"/>
    </x:font>
    <x:font>
      <x:b/>
      <x:sz val="1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2F3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3" fillId="0" borderId="0" xfId="0" applyFont="1" applyAlignment="1">
      <x:alignment vertical="center" wrapText="1"/>
    </x:xf>
    <x:xf numFmtId="0" fontId="0" fillId="0" borderId="0" xfId="0" applyAlignment="1">
      <x:alignment vertical="center" wrapText="1"/>
    </x:xf>
    <x:xf numFmtId="0" fontId="3" fillId="2" borderId="0" xfId="0" applyFont="1" applyFill="1" applyAlignment="1">
      <x:alignment vertical="center" wrapText="1"/>
    </x:xf>
    <x:xf numFmtId="0" fontId="2" fillId="2" borderId="0" xfId="0" applyFont="1" applyFill="1" applyAlignment="1">
      <x:alignment vertical="center" wrapText="1"/>
    </x:xf>
    <x:xf numFmtId="0" fontId="2" fillId="2" borderId="0" xfId="0" applyFont="1" applyFill="1" applyAlignment="1">
      <x:alignment horizontal="center" vertical="center" wrapText="1"/>
    </x:xf>
    <x:xf numFmtId="3" fontId="0" fillId="0" borderId="0" xfId="0" applyNumberFormat="1" applyAlignment="1">
      <x:alignment vertical="center" wrapText="1"/>
    </x:xf>
    <x:xf numFmtId="164" fontId="0" fillId="0" borderId="0" xfId="0" applyNumberFormat="1" applyAlignment="1">
      <x:alignment vertical="center" wrapText="1"/>
    </x:xf>
    <x:xf numFmtId="0" fontId="3" fillId="3" borderId="0" xfId="0" applyFont="1" applyFill="1" applyAlignment="1">
      <x:alignment vertical="center" wrapText="1"/>
    </x:xf>
    <x:xf numFmtId="164" fontId="3" fillId="3" borderId="0" xfId="0" applyNumberFormat="1" applyFont="1" applyFill="1" applyAlignment="1">
      <x:alignment vertical="center" wrapText="1"/>
    </x:xf>
    <x:xf numFmtId="0" fontId="1" fillId="2" borderId="0" xfId="0" applyFont="1" applyFill="1" applyAlignment="1">
      <x:alignment vertical="center" wrapText="1"/>
    </x:xf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4eea437981478f" /><Relationship Type="http://schemas.openxmlformats.org/officeDocument/2006/relationships/theme" Target="/xl/theme/theme1.xml" Id="Reb5801b901764809" /><Relationship Type="http://schemas.openxmlformats.org/officeDocument/2006/relationships/sharedStrings" Target="/xl/sharedStrings.xml" Id="R90110b5aca9b4a5a" /><Relationship Type="http://schemas.openxmlformats.org/officeDocument/2006/relationships/worksheet" Target="/xl/worksheets/sheet1.xml" Id="R3430006229394842" /><Relationship Type="http://schemas.openxmlformats.org/officeDocument/2006/relationships/worksheet" Target="/xl/worksheets/sheet2.xml" Id="Re2515703b6a748bc" /><Relationship Type="http://schemas.openxmlformats.org/officeDocument/2006/relationships/worksheet" Target="/xl/worksheets/sheet3.xml" Id="Rb8653783c7744e44" /><Relationship Type="http://schemas.openxmlformats.org/officeDocument/2006/relationships/worksheet" Target="/xl/worksheets/sheet4.xml" Id="R3a4543e939eb4c39" /><Relationship Type="http://schemas.openxmlformats.org/officeDocument/2006/relationships/worksheet" Target="/xl/worksheets/sheet5.xml" Id="R0c3ae38eedef4dca" /><Relationship Type="http://schemas.openxmlformats.org/officeDocument/2006/relationships/worksheet" Target="/xl/worksheets/sheet6.xml" Id="R5b0e847df6254041" /><Relationship Type="http://schemas.openxmlformats.org/officeDocument/2006/relationships/worksheet" Target="/xl/worksheets/sheet7.xml" Id="R992873039061472d" /><Relationship Type="http://schemas.openxmlformats.org/officeDocument/2006/relationships/worksheet" Target="/xl/worksheets/sheet8.xml" Id="R40c0b0a251e34f45" /><Relationship Type="http://schemas.openxmlformats.org/officeDocument/2006/relationships/worksheet" Target="/xl/worksheets/sheet9.xml" Id="R80027b75249b4977" /><Relationship Type="http://schemas.openxmlformats.org/officeDocument/2006/relationships/worksheet" Target="/xl/worksheets/sheet10.xml" Id="R14fb16e98e154648" /><Relationship Type="http://schemas.openxmlformats.org/officeDocument/2006/relationships/worksheet" Target="/xl/worksheets/sheet11.xml" Id="R6dd6306a37514cc2" /><Relationship Type="http://schemas.openxmlformats.org/officeDocument/2006/relationships/worksheet" Target="/xl/worksheets/sheet12.xml" Id="R0fce16fc81654c6e" /><Relationship Type="http://schemas.openxmlformats.org/officeDocument/2006/relationships/worksheet" Target="/xl/worksheets/sheet13.xml" Id="Rff94d305de8040e5" /><Relationship Type="http://schemas.openxmlformats.org/officeDocument/2006/relationships/worksheet" Target="/xl/worksheets/sheet14.xml" Id="Rab480917ae26436f" /><Relationship Type="http://schemas.openxmlformats.org/officeDocument/2006/relationships/worksheet" Target="/xl/worksheets/sheet15.xml" Id="R101bb78e81f7419a" /><Relationship Type="http://schemas.openxmlformats.org/officeDocument/2006/relationships/worksheet" Target="/xl/worksheets/sheet16.xml" Id="R94e634d31010487b" /><Relationship Type="http://schemas.openxmlformats.org/officeDocument/2006/relationships/worksheet" Target="/xl/worksheets/sheet17.xml" Id="Rfa37635d366549ad" /><Relationship Type="http://schemas.openxmlformats.org/officeDocument/2006/relationships/worksheet" Target="/xl/worksheets/sheet18.xml" Id="Rc15a4004f7db44f0" /><Relationship Type="http://schemas.openxmlformats.org/officeDocument/2006/relationships/worksheet" Target="/xl/worksheets/sheet19.xml" Id="R6f4da4a917754cc6" /><Relationship Type="http://schemas.openxmlformats.org/officeDocument/2006/relationships/worksheet" Target="/xl/worksheets/sheet20.xml" Id="R076bcdb2d4bc4418" /><Relationship Type="http://schemas.openxmlformats.org/officeDocument/2006/relationships/worksheet" Target="/xl/worksheets/sheet21.xml" Id="Rc7a10fd3ed6e4a30" /><Relationship Type="http://schemas.openxmlformats.org/officeDocument/2006/relationships/worksheet" Target="/xl/worksheets/sheet22.xml" Id="R614e9f9dfcf54e40" /><Relationship Type="http://schemas.openxmlformats.org/officeDocument/2006/relationships/worksheet" Target="/xl/worksheets/sheet23.xml" Id="Rbba0007b26544b6f" /><Relationship Type="http://schemas.openxmlformats.org/officeDocument/2006/relationships/worksheet" Target="/xl/worksheets/sheet24.xml" Id="R23f1247e70d545fe" /><Relationship Type="http://schemas.openxmlformats.org/officeDocument/2006/relationships/worksheet" Target="/xl/worksheets/sheet25.xml" Id="R352173ec35b94344" /><Relationship Type="http://schemas.openxmlformats.org/officeDocument/2006/relationships/worksheet" Target="/xl/worksheets/sheet26.xml" Id="Rff0c9badca5e4659" /><Relationship Type="http://schemas.openxmlformats.org/officeDocument/2006/relationships/worksheet" Target="/xl/worksheets/sheet27.xml" Id="R72f65d75f44e46d5" /><Relationship Type="http://schemas.openxmlformats.org/officeDocument/2006/relationships/worksheet" Target="/xl/worksheets/sheet28.xml" Id="R7a95e0195d0849de" /><Relationship Type="http://schemas.openxmlformats.org/officeDocument/2006/relationships/worksheet" Target="/xl/worksheets/sheet29.xml" Id="Rbf880943ab9247eb" /><Relationship Type="http://schemas.openxmlformats.org/officeDocument/2006/relationships/worksheet" Target="/xl/worksheets/sheet30.xml" Id="R7070e73a0638486a" /><Relationship Type="http://schemas.openxmlformats.org/officeDocument/2006/relationships/worksheet" Target="/xl/worksheets/sheet31.xml" Id="R9a1de1ff725d4049" /><Relationship Type="http://schemas.openxmlformats.org/officeDocument/2006/relationships/worksheet" Target="/xl/worksheets/sheet32.xml" Id="Ra0a8c1c1cafb4a5a" /><Relationship Type="http://schemas.openxmlformats.org/officeDocument/2006/relationships/worksheet" Target="/xl/worksheets/sheet33.xml" Id="R4f647877dd2a4fb3" /><Relationship Type="http://schemas.openxmlformats.org/officeDocument/2006/relationships/worksheet" Target="/xl/worksheets/sheet34.xml" Id="R4a4879cf105f4015" /><Relationship Type="http://schemas.openxmlformats.org/officeDocument/2006/relationships/worksheet" Target="/xl/worksheets/sheet35.xml" Id="Reabfadf424c14bb1" /><Relationship Type="http://schemas.openxmlformats.org/officeDocument/2006/relationships/worksheet" Target="/xl/worksheets/sheet36.xml" Id="Rfb7d8b6d579f47be" /><Relationship Type="http://schemas.openxmlformats.org/officeDocument/2006/relationships/worksheet" Target="/xl/worksheets/sheet37.xml" Id="Rf3c35cb78f61492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" max="1" width="28" customWidth="1"/>
    <x:col min="2" max="2" width="92" customWidth="1"/>
  </x:cols>
  <x:sheetData>
    <x:row r="1">
      <x:c r="A1" s="10" t="s">
        <x:v>0</x:v>
      </x:c>
      <x:c r="B1" s="11"/>
    </x:row>
    <x:row r="2" ht="28.799999237060547">
      <x:c r="A2" s="1" t="s">
        <x:v>1</x:v>
      </x:c>
      <x:c r="B2" s="2" t="str">
        <x:v>Core coffee outputs and selected robustness tables organized in one workbook.</x:v>
      </x:c>
    </x:row>
    <x:row r="3">
      <x:c r="A3" s="1" t="s">
        <x:v>2</x:v>
      </x:c>
      <x:c r="B3" s="2" t="str">
        <x:v>Local absolute paths are reduced to portable relative labels.</x:v>
      </x:c>
    </x:row>
    <x:row r="4">
      <x:c r="A4" s="1"/>
      <x:c r="B4" s="2"/>
    </x:row>
    <x:row r="5">
      <x:c r="A5" s="3" t="s">
        <x:v>3</x:v>
      </x:c>
      <x:c r="B5" s="4" t="s">
        <x:v>4</x:v>
      </x:c>
    </x:row>
    <x:row r="6">
      <x:c r="A6" s="1" t="s">
        <x:v>5</x:v>
      </x:c>
      <x:c r="B6" s="2" t="s">
        <x:v>6</x:v>
      </x:c>
    </x:row>
    <x:row r="7">
      <x:c r="A7" s="1" t="s">
        <x:v>7</x:v>
      </x:c>
      <x:c r="B7" s="2" t="s">
        <x:v>8</x:v>
      </x:c>
    </x:row>
    <x:row r="8">
      <x:c r="A8" s="1" t="s">
        <x:v>9</x:v>
      </x:c>
      <x:c r="B8" s="2" t="s">
        <x:v>10</x:v>
      </x:c>
    </x:row>
    <x:row r="9">
      <x:c r="A9" s="1" t="s">
        <x:v>11</x:v>
      </x:c>
      <x:c r="B9" s="2" t="s">
        <x:v>12</x:v>
      </x:c>
    </x:row>
    <x:row r="10">
      <x:c r="A10" s="1" t="s">
        <x:v>13</x:v>
      </x:c>
      <x:c r="B10" s="2" t="s">
        <x:v>14</x:v>
      </x:c>
    </x:row>
    <x:row r="11">
      <x:c r="A11" s="1" t="s">
        <x:v>15</x:v>
      </x:c>
      <x:c r="B11" s="2" t="s">
        <x:v>16</x:v>
      </x:c>
    </x:row>
    <x:row r="12">
      <x:c r="A12" s="1" t="s">
        <x:v>17</x:v>
      </x:c>
      <x:c r="B12" s="2" t="s">
        <x:v>18</x:v>
      </x:c>
    </x:row>
    <x:row r="13">
      <x:c r="A13" s="1" t="s">
        <x:v>19</x:v>
      </x:c>
      <x:c r="B13" s="2" t="s">
        <x:v>20</x:v>
      </x:c>
    </x:row>
    <x:row r="14">
      <x:c r="A14" s="1" t="s">
        <x:v>21</x:v>
      </x:c>
      <x:c r="B14" s="2" t="s">
        <x:v>22</x:v>
      </x:c>
    </x:row>
    <x:row r="15">
      <x:c r="A15" s="1" t="s">
        <x:v>23</x:v>
      </x:c>
      <x:c r="B15" s="2" t="s">
        <x:v>24</x:v>
      </x:c>
    </x:row>
    <x:row r="16">
      <x:c r="A16" s="1" t="s">
        <x:v>25</x:v>
      </x:c>
      <x:c r="B16" s="2" t="s">
        <x:v>26</x:v>
      </x:c>
    </x:row>
    <x:row r="17">
      <x:c r="A17" s="1" t="s">
        <x:v>27</x:v>
      </x:c>
      <x:c r="B17" s="2" t="s">
        <x:v>28</x:v>
      </x:c>
    </x:row>
    <x:row r="18">
      <x:c r="A18" s="1" t="s">
        <x:v>29</x:v>
      </x:c>
      <x:c r="B18" s="2" t="s">
        <x:v>30</x:v>
      </x:c>
    </x:row>
    <x:row r="19">
      <x:c r="A19" s="1" t="s">
        <x:v>31</x:v>
      </x:c>
      <x:c r="B19" s="2" t="s">
        <x:v>32</x:v>
      </x:c>
    </x:row>
    <x:row r="20">
      <x:c r="A20" s="1" t="s">
        <x:v>33</x:v>
      </x:c>
      <x:c r="B20" s="2" t="s">
        <x:v>34</x:v>
      </x:c>
    </x:row>
    <x:row r="21">
      <x:c r="A21" s="1" t="s">
        <x:v>35</x:v>
      </x:c>
      <x:c r="B21" s="2" t="s">
        <x:v>36</x:v>
      </x:c>
    </x:row>
    <x:row r="22">
      <x:c r="A22" s="1" t="s">
        <x:v>37</x:v>
      </x:c>
      <x:c r="B22" s="2" t="s">
        <x:v>38</x:v>
      </x:c>
    </x:row>
    <x:row r="23">
      <x:c r="A23" s="1" t="s">
        <x:v>39</x:v>
      </x:c>
      <x:c r="B23" s="2" t="s">
        <x:v>40</x:v>
      </x:c>
    </x:row>
    <x:row r="24">
      <x:c r="A24" s="1" t="s">
        <x:v>41</x:v>
      </x:c>
      <x:c r="B24" s="2" t="str">
        <x:v>Idealized synthetic calibration parameters and performance summary.</x:v>
      </x:c>
    </x:row>
    <x:row r="25">
      <x:c r="A25" s="1" t="s">
        <x:v>42</x:v>
      </x:c>
      <x:c r="B25" s="2" t="s">
        <x:v>43</x:v>
      </x:c>
    </x:row>
    <x:row r="26">
      <x:c r="A26" s="1" t="s">
        <x:v>44</x:v>
      </x:c>
      <x:c r="B26" s="2" t="s">
        <x:v>45</x:v>
      </x:c>
    </x:row>
    <x:row r="27">
      <x:c r="A27" s="1" t="s">
        <x:v>46</x:v>
      </x:c>
      <x:c r="B27" s="2" t="s">
        <x:v>47</x:v>
      </x:c>
    </x:row>
    <x:row r="28">
      <x:c r="A28" s="1" t="s">
        <x:v>48</x:v>
      </x:c>
      <x:c r="B28" s="2" t="s">
        <x:v>49</x:v>
      </x:c>
    </x:row>
    <x:row r="29">
      <x:c r="A29" s="1" t="s">
        <x:v>50</x:v>
      </x:c>
      <x:c r="B29" s="2" t="s">
        <x:v>51</x:v>
      </x:c>
    </x:row>
    <x:row r="30">
      <x:c r="A30" s="1" t="s">
        <x:v>52</x:v>
      </x:c>
      <x:c r="B30" s="2" t="s">
        <x:v>53</x:v>
      </x:c>
    </x:row>
    <x:row r="31">
      <x:c r="A31" s="1" t="s">
        <x:v>54</x:v>
      </x:c>
      <x:c r="B31" s="2" t="s">
        <x:v>55</x:v>
      </x:c>
    </x:row>
    <x:row r="32">
      <x:c r="A32" s="1" t="s">
        <x:v>56</x:v>
      </x:c>
      <x:c r="B32" s="2" t="str">
        <x:v>Compact summary for kNN = 3–7 robustness.</x:v>
      </x:c>
    </x:row>
    <x:row r="33">
      <x:c r="A33" s="1" t="s">
        <x:v>57</x:v>
      </x:c>
      <x:c r="B33" s="2" t="s">
        <x:v>58</x:v>
      </x:c>
    </x:row>
    <x:row r="34">
      <x:c r="A34" s="1" t="s">
        <x:v>59</x:v>
      </x:c>
      <x:c r="B34" s="2" t="s">
        <x:v>60</x:v>
      </x:c>
    </x:row>
    <x:row r="35">
      <x:c r="A35" s="1" t="s">
        <x:v>61</x:v>
      </x:c>
      <x:c r="B35" s="2" t="s">
        <x:v>62</x:v>
      </x:c>
    </x:row>
    <x:row r="36">
      <x:c r="A36" s="1" t="s">
        <x:v>63</x:v>
      </x:c>
      <x:c r="B36" s="2" t="s">
        <x:v>64</x:v>
      </x:c>
    </x:row>
    <x:row r="37">
      <x:c r="A37" s="1" t="s">
        <x:v>65</x:v>
      </x:c>
      <x:c r="B37" s="2" t="s">
        <x:v>66</x:v>
      </x:c>
    </x:row>
    <x:row r="38">
      <x:c r="A38" s="1" t="s">
        <x:v>67</x:v>
      </x:c>
      <x:c r="B38" s="2" t="s">
        <x:v>68</x:v>
      </x:c>
    </x:row>
    <x:row r="39">
      <x:c r="A39" s="1" t="s">
        <x:v>69</x:v>
      </x:c>
      <x:c r="B39" s="2" t="s">
        <x:v>70</x:v>
      </x:c>
    </x:row>
    <x:row r="40">
      <x:c r="A40" s="1" t="s">
        <x:v>71</x:v>
      </x:c>
      <x:c r="B40" s="2" t="str">
        <x:v>Ablation analysis of Topological Mixture Score components.</x:v>
      </x:c>
    </x:row>
    <x:row r="41">
      <x:c r="A41" s="1" t="s">
        <x:v>72</x:v>
      </x:c>
      <x:c r="B41" s="2" t="s">
        <x:v>73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1" max="1" width="13" customWidth="1"/>
    <x:col min="2" max="3" width="24" customWidth="1"/>
    <x:col min="4" max="5" width="10" customWidth="1"/>
    <x:col min="6" max="6" width="13" customWidth="1"/>
  </x:cols>
  <x:sheetData>
    <x:row r="1">
      <x:c r="A1" s="5" t="s">
        <x:v>74</x:v>
      </x:c>
      <x:c r="B1" s="5" t="s">
        <x:v>75</x:v>
      </x:c>
      <x:c r="C1" s="5" t="s">
        <x:v>76</x:v>
      </x:c>
      <x:c r="D1" s="5" t="s">
        <x:v>77</x:v>
      </x:c>
      <x:c r="E1" s="5" t="s">
        <x:v>78</x:v>
      </x:c>
      <x:c r="F1" s="5" t="s">
        <x:v>79</x:v>
      </x:c>
    </x:row>
    <x:row r="2">
      <x:c r="A2" s="2" t="s">
        <x:v>80</x:v>
      </x:c>
      <x:c r="B2" s="2" t="s">
        <x:v>81</x:v>
      </x:c>
      <x:c r="C2" s="2" t="s">
        <x:v>82</x:v>
      </x:c>
      <x:c r="D2" s="6">
        <x:v>63104179</x:v>
      </x:c>
      <x:c r="E2" s="6">
        <x:v>69754963</x:v>
      </x:c>
      <x:c r="F2" s="6">
        <x:v>132859142</x:v>
      </x:c>
    </x:row>
    <x:row r="3">
      <x:c r="A3" s="2" t="s">
        <x:v>83</x:v>
      </x:c>
      <x:c r="B3" s="2" t="s">
        <x:v>84</x:v>
      </x:c>
      <x:c r="C3" s="2" t="s">
        <x:v>85</x:v>
      </x:c>
      <x:c r="D3" s="6">
        <x:v>64933464</x:v>
      </x:c>
      <x:c r="E3" s="6">
        <x:v>71561960</x:v>
      </x:c>
      <x:c r="F3" s="6">
        <x:v>136495424</x:v>
      </x:c>
    </x:row>
    <x:row r="4">
      <x:c r="A4" s="2" t="s">
        <x:v>86</x:v>
      </x:c>
      <x:c r="B4" s="2" t="s">
        <x:v>87</x:v>
      </x:c>
      <x:c r="C4" s="2" t="s">
        <x:v>88</x:v>
      </x:c>
      <x:c r="D4" s="6">
        <x:v>64860839</x:v>
      </x:c>
      <x:c r="E4" s="6">
        <x:v>72373747</x:v>
      </x:c>
      <x:c r="F4" s="6">
        <x:v>137234586</x:v>
      </x:c>
    </x:row>
    <x:row r="5">
      <x:c r="A5" s="2" t="s">
        <x:v>89</x:v>
      </x:c>
      <x:c r="B5" s="2" t="s">
        <x:v>90</x:v>
      </x:c>
      <x:c r="C5" s="2" t="s">
        <x:v>91</x:v>
      </x:c>
      <x:c r="D5" s="6">
        <x:v>63976585</x:v>
      </x:c>
      <x:c r="E5" s="6">
        <x:v>69142583</x:v>
      </x:c>
      <x:c r="F5" s="6">
        <x:v>133119168</x:v>
      </x:c>
    </x:row>
    <x:row r="6">
      <x:c r="A6" s="2" t="s">
        <x:v>92</x:v>
      </x:c>
      <x:c r="B6" s="2" t="s">
        <x:v>93</x:v>
      </x:c>
      <x:c r="C6" s="2" t="s">
        <x:v>94</x:v>
      </x:c>
      <x:c r="D6" s="6">
        <x:v>59979063</x:v>
      </x:c>
      <x:c r="E6" s="6">
        <x:v>66712793</x:v>
      </x:c>
      <x:c r="F6" s="6">
        <x:v>126691856</x:v>
      </x:c>
    </x:row>
    <x:row r="7">
      <x:c r="A7" s="2" t="s">
        <x:v>95</x:v>
      </x:c>
      <x:c r="B7" s="2" t="s">
        <x:v>96</x:v>
      </x:c>
      <x:c r="C7" s="2" t="s">
        <x:v>97</x:v>
      </x:c>
      <x:c r="D7" s="6">
        <x:v>69624174</x:v>
      </x:c>
      <x:c r="E7" s="6">
        <x:v>78156324</x:v>
      </x:c>
      <x:c r="F7" s="6">
        <x:v>147780498</x:v>
      </x:c>
    </x:row>
    <x:row r="8">
      <x:c r="A8" s="2" t="s">
        <x:v>98</x:v>
      </x:c>
      <x:c r="B8" s="2" t="s">
        <x:v>99</x:v>
      </x:c>
      <x:c r="C8" s="2" t="s">
        <x:v>100</x:v>
      </x:c>
      <x:c r="D8" s="6">
        <x:v>67345332</x:v>
      </x:c>
      <x:c r="E8" s="6">
        <x:v>74394072</x:v>
      </x:c>
      <x:c r="F8" s="6">
        <x:v>141739404</x:v>
      </x:c>
    </x:row>
    <x:row r="9">
      <x:c r="A9" s="2" t="s">
        <x:v>101</x:v>
      </x:c>
      <x:c r="B9" s="2" t="s">
        <x:v>102</x:v>
      </x:c>
      <x:c r="C9" s="2" t="s">
        <x:v>103</x:v>
      </x:c>
      <x:c r="D9" s="6">
        <x:v>71711962</x:v>
      </x:c>
      <x:c r="E9" s="6">
        <x:v>79191786</x:v>
      </x:c>
      <x:c r="F9" s="6">
        <x:v>150903748</x:v>
      </x:c>
    </x:row>
    <x:row r="10">
      <x:c r="A10" s="2" t="s">
        <x:v>104</x:v>
      </x:c>
      <x:c r="B10" s="2" t="s">
        <x:v>105</x:v>
      </x:c>
      <x:c r="C10" s="2" t="s">
        <x:v>106</x:v>
      </x:c>
      <x:c r="D10" s="6">
        <x:v>48103166</x:v>
      </x:c>
      <x:c r="E10" s="6">
        <x:v>54250978</x:v>
      </x:c>
      <x:c r="F10" s="6">
        <x:v>102354144</x:v>
      </x:c>
    </x:row>
    <x:row r="11">
      <x:c r="A11" s="2" t="s">
        <x:v>107</x:v>
      </x:c>
      <x:c r="B11" s="2" t="s">
        <x:v>108</x:v>
      </x:c>
      <x:c r="C11" s="2" t="s">
        <x:v>109</x:v>
      </x:c>
      <x:c r="D11" s="6">
        <x:v>52085001</x:v>
      </x:c>
      <x:c r="E11" s="6">
        <x:v>59140483</x:v>
      </x:c>
      <x:c r="F11" s="6">
        <x:v>111225484</x:v>
      </x:c>
    </x:row>
    <x:row r="12">
      <x:c r="A12" s="2" t="s">
        <x:v>110</x:v>
      </x:c>
      <x:c r="B12" s="2" t="s">
        <x:v>111</x:v>
      </x:c>
      <x:c r="C12" s="2" t="s">
        <x:v>112</x:v>
      </x:c>
      <x:c r="D12" s="6">
        <x:v>32335968</x:v>
      </x:c>
      <x:c r="E12" s="6">
        <x:v>36850354</x:v>
      </x:c>
      <x:c r="F12" s="6">
        <x:v>69186322</x:v>
      </x:c>
    </x:row>
    <x:row r="13">
      <x:c r="A13" s="2" t="s">
        <x:v>113</x:v>
      </x:c>
      <x:c r="B13" s="2" t="s">
        <x:v>114</x:v>
      </x:c>
      <x:c r="C13" s="2" t="s">
        <x:v>115</x:v>
      </x:c>
      <x:c r="D13" s="6">
        <x:v>66866046</x:v>
      </x:c>
      <x:c r="E13" s="6">
        <x:v>74852348</x:v>
      </x:c>
      <x:c r="F13" s="6">
        <x:v>141718394</x:v>
      </x:c>
    </x:row>
    <x:row r="14">
      <x:c r="A14" s="2" t="s">
        <x:v>116</x:v>
      </x:c>
      <x:c r="B14" s="2" t="s">
        <x:v>117</x:v>
      </x:c>
      <x:c r="C14" s="2" t="s">
        <x:v>118</x:v>
      </x:c>
      <x:c r="D14" s="6">
        <x:v>65145867</x:v>
      </x:c>
      <x:c r="E14" s="6">
        <x:v>72977229</x:v>
      </x:c>
      <x:c r="F14" s="6">
        <x:v>138123096</x:v>
      </x:c>
    </x:row>
    <x:row r="15">
      <x:c r="A15" s="2" t="s">
        <x:v>119</x:v>
      </x:c>
      <x:c r="B15" s="2" t="s">
        <x:v>120</x:v>
      </x:c>
      <x:c r="C15" s="2" t="s">
        <x:v>121</x:v>
      </x:c>
      <x:c r="D15" s="6">
        <x:v>48648844</x:v>
      </x:c>
      <x:c r="E15" s="6">
        <x:v>54062480</x:v>
      </x:c>
      <x:c r="F15" s="6">
        <x:v>102711324</x:v>
      </x:c>
    </x:row>
    <x:row r="16">
      <x:c r="A16" s="2" t="s">
        <x:v>122</x:v>
      </x:c>
      <x:c r="B16" s="2" t="s">
        <x:v>123</x:v>
      </x:c>
      <x:c r="C16" s="2" t="s">
        <x:v>124</x:v>
      </x:c>
      <x:c r="D16" s="6">
        <x:v>58831593</x:v>
      </x:c>
      <x:c r="E16" s="6">
        <x:v>65246235</x:v>
      </x:c>
      <x:c r="F16" s="6">
        <x:v>124077828</x:v>
      </x:c>
    </x:row>
    <x:row r="17">
      <x:c r="A17" s="2" t="s">
        <x:v>125</x:v>
      </x:c>
      <x:c r="B17" s="2" t="s">
        <x:v>126</x:v>
      </x:c>
      <x:c r="C17" s="2" t="s">
        <x:v>127</x:v>
      </x:c>
      <x:c r="D17" s="6">
        <x:v>59993819</x:v>
      </x:c>
      <x:c r="E17" s="6">
        <x:v>67195372</x:v>
      </x:c>
      <x:c r="F17" s="6">
        <x:v>127189191</x:v>
      </x:c>
    </x:row>
    <x:row r="18">
      <x:c r="A18" s="2" t="s">
        <x:v>128</x:v>
      </x:c>
      <x:c r="B18" s="2" t="s">
        <x:v>129</x:v>
      </x:c>
      <x:c r="C18" s="2" t="s">
        <x:v>130</x:v>
      </x:c>
      <x:c r="D18" s="6">
        <x:v>37660881</x:v>
      </x:c>
      <x:c r="E18" s="6">
        <x:v>41510589</x:v>
      </x:c>
      <x:c r="F18" s="6">
        <x:v>79171470</x:v>
      </x:c>
    </x:row>
    <x:row r="19">
      <x:c r="A19" s="2" t="s">
        <x:v>131</x:v>
      </x:c>
      <x:c r="B19" s="2" t="s">
        <x:v>132</x:v>
      </x:c>
      <x:c r="C19" s="2" t="s">
        <x:v>133</x:v>
      </x:c>
      <x:c r="D19" s="6">
        <x:v>72632889</x:v>
      </x:c>
      <x:c r="E19" s="6">
        <x:v>80207992</x:v>
      </x:c>
      <x:c r="F19" s="6">
        <x:v>152840881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399999618530273"/>
  <x:cols>
    <x:col min="1" max="2" width="13" customWidth="1"/>
    <x:col min="3" max="4" width="15" customWidth="1"/>
    <x:col min="5" max="6" width="13" customWidth="1"/>
    <x:col min="7" max="8" width="20" customWidth="1"/>
    <x:col min="9" max="10" width="23" customWidth="1"/>
    <x:col min="11" max="12" width="19" customWidth="1"/>
    <x:col min="13" max="15" width="20" customWidth="1"/>
    <x:col min="16" max="16" width="19" customWidth="1"/>
  </x:cols>
  <x:sheetData>
    <x:row r="1">
      <x:c r="A1" s="5" t="s">
        <x:v>74</x:v>
      </x:c>
      <x:c r="B1" s="5" t="s">
        <x:v>134</x:v>
      </x:c>
      <x:c r="C1" s="5" t="s">
        <x:v>135</x:v>
      </x:c>
      <x:c r="D1" s="5" t="s">
        <x:v>136</x:v>
      </x:c>
      <x:c r="E1" s="5" t="s">
        <x:v>137</x:v>
      </x:c>
      <x:c r="F1" s="5" t="s">
        <x:v>138</x:v>
      </x:c>
      <x:c r="G1" s="5" t="s">
        <x:v>139</x:v>
      </x:c>
      <x:c r="H1" s="5" t="s">
        <x:v>140</x:v>
      </x:c>
      <x:c r="I1" s="5" t="s">
        <x:v>141</x:v>
      </x:c>
      <x:c r="J1" s="5" t="s">
        <x:v>142</x:v>
      </x:c>
      <x:c r="K1" s="5" t="s">
        <x:v>143</x:v>
      </x:c>
      <x:c r="L1" s="5" t="s">
        <x:v>144</x:v>
      </x:c>
      <x:c r="M1" s="5" t="s">
        <x:v>145</x:v>
      </x:c>
      <x:c r="N1" s="5" t="s">
        <x:v>146</x:v>
      </x:c>
      <x:c r="O1" s="5" t="s">
        <x:v>147</x:v>
      </x:c>
      <x:c r="P1" s="5" t="s">
        <x:v>148</x:v>
      </x:c>
    </x:row>
    <x:row r="2">
      <x:c r="A2" s="2" t="s">
        <x:v>80</x:v>
      </x:c>
      <x:c r="B2" s="2" t="s">
        <x:v>149</x:v>
      </x:c>
      <x:c r="C2" s="6">
        <x:v>200000</x:v>
      </x:c>
      <x:c r="D2" s="6">
        <x:v>200000</x:v>
      </x:c>
      <x:c r="E2" s="7">
        <x:v>92.808000000000007</x:v>
      </x:c>
      <x:c r="F2" s="7">
        <x:v>95.647589999999994</x:v>
      </x:c>
      <x:c r="G2" s="7">
        <x:v>0.4575030169812947</x:v>
      </x:c>
      <x:c r="H2" s="7">
        <x:v>0.45894857361278002</x:v>
      </x:c>
      <x:c r="I2" s="7">
        <x:v>1.449228514783208E-5</x:v>
      </x:c>
      <x:c r="J2" s="7">
        <x:v>7.1617068448875713E-6</x:v>
      </x:c>
      <x:c r="K2" s="7">
        <x:v>39.503970886130503</x:v>
      </x:c>
      <x:c r="L2" s="7">
        <x:v>38.087205542763797</x:v>
      </x:c>
      <x:c r="M2" s="7">
        <x:v>0.9558884471166279</x:v>
      </x:c>
      <x:c r="N2" s="7">
        <x:v>0.9044496050553914</x:v>
      </x:c>
      <x:c r="O2" s="7">
        <x:v>0.45822579529703727</x:v>
      </x:c>
      <x:c r="P2" s="7">
        <x:v>38.79558821444715</x:v>
      </x:c>
    </x:row>
    <x:row r="3">
      <x:c r="A3" s="2" t="s">
        <x:v>83</x:v>
      </x:c>
      <x:c r="B3" s="2" t="s">
        <x:v>149</x:v>
      </x:c>
      <x:c r="C3" s="6">
        <x:v>200000</x:v>
      </x:c>
      <x:c r="D3" s="6">
        <x:v>200000</x:v>
      </x:c>
      <x:c r="E3" s="7">
        <x:v>91.863365000000002</x:v>
      </x:c>
      <x:c r="F3" s="7">
        <x:v>94.686075000000002</x:v>
      </x:c>
      <x:c r="G3" s="7">
        <x:v>0.42808251145600862</x:v>
      </x:c>
      <x:c r="H3" s="7">
        <x:v>0.42926834806490821</x:v>
      </x:c>
      <x:c r="I3" s="7">
        <x:v>1.257302081194174E-5</x:v>
      </x:c>
      <x:c r="J3" s="7">
        <x:v>6.4951472537012434E-6</x:v>
      </x:c>
      <x:c r="K3" s="7">
        <x:v>39.456265672392909</x:v>
      </x:c>
      <x:c r="L3" s="7">
        <x:v>38.114716287479439</x:v>
      </x:c>
      <x:c r="M3" s="7">
        <x:v>0.95435209672539212</x:v>
      </x:c>
      <x:c r="N3" s="7">
        <x:v>0.90557376044999227</x:v>
      </x:c>
      <x:c r="O3" s="7">
        <x:v>0.42867542976045842</x:v>
      </x:c>
      <x:c r="P3" s="7">
        <x:v>38.785490979936171</x:v>
      </x:c>
    </x:row>
    <x:row r="4">
      <x:c r="A4" s="2" t="s">
        <x:v>86</x:v>
      </x:c>
      <x:c r="B4" s="2" t="s">
        <x:v>149</x:v>
      </x:c>
      <x:c r="C4" s="6">
        <x:v>200000</x:v>
      </x:c>
      <x:c r="D4" s="6">
        <x:v>200000</x:v>
      </x:c>
      <x:c r="E4" s="7">
        <x:v>96.566230000000004</x:v>
      </x:c>
      <x:c r="F4" s="7">
        <x:v>99.622309999999999</x:v>
      </x:c>
      <x:c r="G4" s="7">
        <x:v>0.45907616979559002</x:v>
      </x:c>
      <x:c r="H4" s="7">
        <x:v>0.46039069963344559</x:v>
      </x:c>
      <x:c r="I4" s="7">
        <x:v>6.3169080950970131E-6</x:v>
      </x:c>
      <x:c r="J4" s="7">
        <x:v>6.0729368752842608E-6</x:v>
      </x:c>
      <x:c r="K4" s="7">
        <x:v>39.510863166139963</x:v>
      </x:c>
      <x:c r="L4" s="7">
        <x:v>37.950438109696513</x:v>
      </x:c>
      <x:c r="M4" s="7">
        <x:v>0.95643725554989567</x:v>
      </x:c>
      <x:c r="N4" s="7">
        <x:v>0.89974991545568461</x:v>
      </x:c>
      <x:c r="O4" s="7">
        <x:v>0.45973343471451777</x:v>
      </x:c>
      <x:c r="P4" s="7">
        <x:v>38.730650637918238</x:v>
      </x:c>
    </x:row>
    <x:row r="5">
      <x:c r="A5" s="2" t="s">
        <x:v>89</x:v>
      </x:c>
      <x:c r="B5" s="2" t="s">
        <x:v>149</x:v>
      </x:c>
      <x:c r="C5" s="6">
        <x:v>200000</x:v>
      </x:c>
      <x:c r="D5" s="6">
        <x:v>200000</x:v>
      </x:c>
      <x:c r="E5" s="7">
        <x:v>96.973224999999999</x:v>
      </x:c>
      <x:c r="F5" s="7">
        <x:v>100.00348</x:v>
      </x:c>
      <x:c r="G5" s="7">
        <x:v>0.43684315954223452</x:v>
      </x:c>
      <x:c r="H5" s="7">
        <x:v>0.43818480116891928</x:v>
      </x:c>
      <x:c r="I5" s="7">
        <x:v>1.4127610997778001E-5</x:v>
      </x:c>
      <x:c r="J5" s="7">
        <x:v>5.5498068667210384E-6</x:v>
      </x:c>
      <x:c r="K5" s="7">
        <x:v>39.315543388394062</x:v>
      </x:c>
      <x:c r="L5" s="7">
        <x:v>38.152762433867302</x:v>
      </x:c>
      <x:c r="M5" s="7">
        <x:v>0.95013876252955387</x:v>
      </x:c>
      <x:c r="N5" s="7">
        <x:v>0.90710313281097821</x:v>
      </x:c>
      <x:c r="O5" s="7">
        <x:v>0.43751398035557693</x:v>
      </x:c>
      <x:c r="P5" s="7">
        <x:v>38.734152911130678</x:v>
      </x:c>
    </x:row>
    <x:row r="6">
      <x:c r="A6" s="2" t="s">
        <x:v>92</x:v>
      </x:c>
      <x:c r="B6" s="2" t="s">
        <x:v>149</x:v>
      </x:c>
      <x:c r="C6" s="6">
        <x:v>200000</x:v>
      </x:c>
      <x:c r="D6" s="6">
        <x:v>200000</x:v>
      </x:c>
      <x:c r="E6" s="7">
        <x:v>98.313215</x:v>
      </x:c>
      <x:c r="F6" s="7">
        <x:v>101.515085</x:v>
      </x:c>
      <x:c r="G6" s="7">
        <x:v>0.42209666320036432</x:v>
      </x:c>
      <x:c r="H6" s="7">
        <x:v>0.42352104615781982</x:v>
      </x:c>
      <x:c r="I6" s="7">
        <x:v>1.251103424905797E-5</x:v>
      </x:c>
      <x:c r="J6" s="7">
        <x:v>7.0432881970201774E-6</x:v>
      </x:c>
      <x:c r="K6" s="7">
        <x:v>39.494049655481213</x:v>
      </x:c>
      <x:c r="L6" s="7">
        <x:v>38.018573643513179</x:v>
      </x:c>
      <x:c r="M6" s="7">
        <x:v>0.9556881035779371</x:v>
      </x:c>
      <x:c r="N6" s="7">
        <x:v>0.9019274327554373</x:v>
      </x:c>
      <x:c r="O6" s="7">
        <x:v>0.42280885467909202</x:v>
      </x:c>
      <x:c r="P6" s="7">
        <x:v>38.756311649497192</x:v>
      </x:c>
    </x:row>
    <x:row r="7">
      <x:c r="A7" s="2" t="s">
        <x:v>95</x:v>
      </x:c>
      <x:c r="B7" s="2" t="s">
        <x:v>149</x:v>
      </x:c>
      <x:c r="C7" s="6">
        <x:v>200000</x:v>
      </x:c>
      <x:c r="D7" s="6">
        <x:v>200000</x:v>
      </x:c>
      <x:c r="E7" s="7">
        <x:v>98.718329999999995</x:v>
      </x:c>
      <x:c r="F7" s="7">
        <x:v>101.98793000000001</x:v>
      </x:c>
      <x:c r="G7" s="7">
        <x:v>0.44945634716470589</x:v>
      </x:c>
      <x:c r="H7" s="7">
        <x:v>0.45102768533492149</x:v>
      </x:c>
      <x:c r="I7" s="7">
        <x:v>1.372592101183235E-5</x:v>
      </x:c>
      <x:c r="J7" s="7">
        <x:v>5.7359728744372006E-6</x:v>
      </x:c>
      <x:c r="K7" s="7">
        <x:v>39.458953063731933</x:v>
      </x:c>
      <x:c r="L7" s="7">
        <x:v>37.785057506314708</x:v>
      </x:c>
      <x:c r="M7" s="7">
        <x:v>0.95459667925905956</x:v>
      </x:c>
      <x:c r="N7" s="7">
        <x:v>0.8937193842447827</x:v>
      </x:c>
      <x:c r="O7" s="7">
        <x:v>0.45024201624981369</x:v>
      </x:c>
      <x:c r="P7" s="7">
        <x:v>38.62200528502332</x:v>
      </x:c>
    </x:row>
    <x:row r="8">
      <x:c r="A8" s="2" t="s">
        <x:v>98</x:v>
      </x:c>
      <x:c r="B8" s="2" t="s">
        <x:v>149</x:v>
      </x:c>
      <x:c r="C8" s="6">
        <x:v>200000</x:v>
      </x:c>
      <x:c r="D8" s="6">
        <x:v>200000</x:v>
      </x:c>
      <x:c r="E8" s="7">
        <x:v>94.936075000000002</x:v>
      </x:c>
      <x:c r="F8" s="7">
        <x:v>97.794695000000004</x:v>
      </x:c>
      <x:c r="G8" s="7">
        <x:v>0.41423394636864858</x:v>
      </x:c>
      <x:c r="H8" s="7">
        <x:v>0.41549124929527109</x:v>
      </x:c>
      <x:c r="I8" s="7">
        <x:v>1.5010100217435791E-5</x:v>
      </x:c>
      <x:c r="J8" s="7">
        <x:v>5.9819195714041544E-6</x:v>
      </x:c>
      <x:c r="K8" s="7">
        <x:v>39.563079998830787</x:v>
      </x:c>
      <x:c r="L8" s="7">
        <x:v>38.173279900305431</x:v>
      </x:c>
      <x:c r="M8" s="7">
        <x:v>0.95833775516841202</x:v>
      </x:c>
      <x:c r="N8" s="7">
        <x:v>0.90769954341592862</x:v>
      </x:c>
      <x:c r="O8" s="7">
        <x:v>0.41486259783195978</x:v>
      </x:c>
      <x:c r="P8" s="7">
        <x:v>38.868179949568123</x:v>
      </x:c>
    </x:row>
    <x:row r="9">
      <x:c r="A9" s="2" t="s">
        <x:v>101</x:v>
      </x:c>
      <x:c r="B9" s="2" t="s">
        <x:v>149</x:v>
      </x:c>
      <x:c r="C9" s="6">
        <x:v>200000</x:v>
      </x:c>
      <x:c r="D9" s="6">
        <x:v>200000</x:v>
      </x:c>
      <x:c r="E9" s="7">
        <x:v>95.773314999999997</x:v>
      </x:c>
      <x:c r="F9" s="7">
        <x:v>98.703914999999995</x:v>
      </x:c>
      <x:c r="G9" s="7">
        <x:v>0.4305172583824628</x:v>
      </x:c>
      <x:c r="H9" s="7">
        <x:v>0.43153703680345412</x:v>
      </x:c>
      <x:c r="I9" s="7">
        <x:v>1.4252404231805071E-5</x:v>
      </x:c>
      <x:c r="J9" s="7">
        <x:v>5.0149986451905184E-6</x:v>
      </x:c>
      <x:c r="K9" s="7">
        <x:v>39.514665906677664</x:v>
      </x:c>
      <x:c r="L9" s="7">
        <x:v>38.118936163778308</x:v>
      </x:c>
      <x:c r="M9" s="7">
        <x:v>0.95662690593930055</x:v>
      </x:c>
      <x:c r="N9" s="7">
        <x:v>0.90597379040132298</x:v>
      </x:c>
      <x:c r="O9" s="7">
        <x:v>0.43102714759295851</x:v>
      </x:c>
      <x:c r="P9" s="7">
        <x:v>38.816801035227982</x:v>
      </x:c>
    </x:row>
    <x:row r="10">
      <x:c r="A10" s="2" t="s">
        <x:v>104</x:v>
      </x:c>
      <x:c r="B10" s="2" t="s">
        <x:v>150</x:v>
      </x:c>
      <x:c r="C10" s="6">
        <x:v>200000</x:v>
      </x:c>
      <x:c r="D10" s="6">
        <x:v>200000</x:v>
      </x:c>
      <x:c r="E10" s="7">
        <x:v>107.49636</x:v>
      </x:c>
      <x:c r="F10" s="7">
        <x:v>111.55634000000001</x:v>
      </x:c>
      <x:c r="G10" s="7">
        <x:v>0.42110793332909141</x:v>
      </x:c>
      <x:c r="H10" s="7">
        <x:v>0.42220150822445413</x:v>
      </x:c>
      <x:c r="I10" s="7">
        <x:v>1.0558497050504781E-5</x:v>
      </x:c>
      <x:c r="J10" s="7">
        <x:v>8.2469539606623889E-6</x:v>
      </x:c>
      <x:c r="K10" s="7">
        <x:v>39.519574151161947</x:v>
      </x:c>
      <x:c r="L10" s="7">
        <x:v>37.889224314817071</x:v>
      </x:c>
      <x:c r="M10" s="7">
        <x:v>0.95681542147101539</x:v>
      </x:c>
      <x:c r="N10" s="7">
        <x:v>0.89763221884117028</x:v>
      </x:c>
      <x:c r="O10" s="7">
        <x:v>0.42165472077677268</x:v>
      </x:c>
      <x:c r="P10" s="7">
        <x:v>38.704399232989523</x:v>
      </x:c>
    </x:row>
    <x:row r="11">
      <x:c r="A11" s="2" t="s">
        <x:v>107</x:v>
      </x:c>
      <x:c r="B11" s="2" t="s">
        <x:v>149</x:v>
      </x:c>
      <x:c r="C11" s="6">
        <x:v>200000</x:v>
      </x:c>
      <x:c r="D11" s="6">
        <x:v>200000</x:v>
      </x:c>
      <x:c r="E11" s="7">
        <x:v>107.47006</x:v>
      </x:c>
      <x:c r="F11" s="7">
        <x:v>111.503685</x:v>
      </x:c>
      <x:c r="G11" s="7">
        <x:v>0.42125425444072517</x:v>
      </x:c>
      <x:c r="H11" s="7">
        <x:v>0.42256845592143433</x:v>
      </x:c>
      <x:c r="I11" s="7">
        <x:v>8.9327204246466406E-6</x:v>
      </x:c>
      <x:c r="J11" s="7">
        <x:v>7.1298092076508499E-6</x:v>
      </x:c>
      <x:c r="K11" s="7">
        <x:v>39.551770976958608</x:v>
      </x:c>
      <x:c r="L11" s="7">
        <x:v>37.803552411743162</x:v>
      </x:c>
      <x:c r="M11" s="7">
        <x:v>0.95816783762845203</x:v>
      </x:c>
      <x:c r="N11" s="7">
        <x:v>0.89468657470827084</x:v>
      </x:c>
      <x:c r="O11" s="7">
        <x:v>0.42191135518107981</x:v>
      </x:c>
      <x:c r="P11" s="7">
        <x:v>38.677661694350888</x:v>
      </x:c>
    </x:row>
    <x:row r="12">
      <x:c r="A12" s="2" t="s">
        <x:v>110</x:v>
      </x:c>
      <x:c r="B12" s="2" t="s">
        <x:v>150</x:v>
      </x:c>
      <x:c r="C12" s="6">
        <x:v>200000</x:v>
      </x:c>
      <x:c r="D12" s="6">
        <x:v>200000</x:v>
      </x:c>
      <x:c r="E12" s="7">
        <x:v>109.03516500000001</x:v>
      </x:c>
      <x:c r="F12" s="7">
        <x:v>113.33689</x:v>
      </x:c>
      <x:c r="G12" s="7">
        <x:v>0.4197365593017629</x:v>
      </x:c>
      <x:c r="H12" s="7">
        <x:v>0.4214180837324899</x:v>
      </x:c>
      <x:c r="I12" s="7">
        <x:v>7.2912257252052587E-6</x:v>
      </x:c>
      <x:c r="J12" s="7">
        <x:v>7.3232995893922973E-6</x:v>
      </x:c>
      <x:c r="K12" s="7">
        <x:v>39.450948233076907</x:v>
      </x:c>
      <x:c r="L12" s="7">
        <x:v>37.614853116227202</x:v>
      </x:c>
      <x:c r="M12" s="7">
        <x:v>0.95469310290858922</x:v>
      </x:c>
      <x:c r="N12" s="7">
        <x:v>0.8879368844513027</x:v>
      </x:c>
      <x:c r="O12" s="7">
        <x:v>0.4205773215171264</x:v>
      </x:c>
      <x:c r="P12" s="7">
        <x:v>38.532900674652048</x:v>
      </x:c>
    </x:row>
    <x:row r="13">
      <x:c r="A13" s="2" t="s">
        <x:v>113</x:v>
      </x:c>
      <x:c r="B13" s="2" t="s">
        <x:v>149</x:v>
      </x:c>
      <x:c r="C13" s="6">
        <x:v>200000</x:v>
      </x:c>
      <x:c r="D13" s="6">
        <x:v>200000</x:v>
      </x:c>
      <x:c r="E13" s="7">
        <x:v>102.82501999999999</x:v>
      </x:c>
      <x:c r="F13" s="7">
        <x:v>106.314555</x:v>
      </x:c>
      <x:c r="G13" s="7">
        <x:v>0.42307105799736289</x:v>
      </x:c>
      <x:c r="H13" s="7">
        <x:v>0.42466160912774359</x:v>
      </x:c>
      <x:c r="I13" s="7">
        <x:v>8.8499861220547287E-6</x:v>
      </x:c>
      <x:c r="J13" s="7">
        <x:v>4.9852064000079762E-6</x:v>
      </x:c>
      <x:c r="K13" s="7">
        <x:v>39.49864147850397</x:v>
      </x:c>
      <x:c r="L13" s="7">
        <x:v>37.930820619998833</x:v>
      </x:c>
      <x:c r="M13" s="7">
        <x:v>0.9561653379692997</x:v>
      </x:c>
      <x:c r="N13" s="7">
        <x:v>0.89911000426987631</x:v>
      </x:c>
      <x:c r="O13" s="7">
        <x:v>0.42386633356255321</x:v>
      </x:c>
      <x:c r="P13" s="7">
        <x:v>38.714731049251398</x:v>
      </x:c>
    </x:row>
    <x:row r="14">
      <x:c r="A14" s="2" t="s">
        <x:v>116</x:v>
      </x:c>
      <x:c r="B14" s="2" t="s">
        <x:v>149</x:v>
      </x:c>
      <x:c r="C14" s="6">
        <x:v>200000</x:v>
      </x:c>
      <x:c r="D14" s="6">
        <x:v>200000</x:v>
      </x:c>
      <x:c r="E14" s="7">
        <x:v>102.04212</x:v>
      </x:c>
      <x:c r="F14" s="7">
        <x:v>105.429225</x:v>
      </x:c>
      <x:c r="G14" s="7">
        <x:v>0.42407424502744551</x:v>
      </x:c>
      <x:c r="H14" s="7">
        <x:v>0.42538053371823609</x:v>
      </x:c>
      <x:c r="I14" s="7">
        <x:v>1.2151844748031501E-5</x:v>
      </x:c>
      <x:c r="J14" s="7">
        <x:v>5.9281475321477506E-6</x:v>
      </x:c>
      <x:c r="K14" s="7">
        <x:v>39.538452944725179</x:v>
      </x:c>
      <x:c r="L14" s="7">
        <x:v>37.982414648310282</x:v>
      </x:c>
      <x:c r="M14" s="7">
        <x:v>0.95751043784664602</x:v>
      </x:c>
      <x:c r="N14" s="7">
        <x:v>0.90110825532483996</x:v>
      </x:c>
      <x:c r="O14" s="7">
        <x:v>0.42472738937284082</x:v>
      </x:c>
      <x:c r="P14" s="7">
        <x:v>38.760433796517731</x:v>
      </x:c>
    </x:row>
    <x:row r="15">
      <x:c r="A15" s="2" t="s">
        <x:v>119</x:v>
      </x:c>
      <x:c r="B15" s="2" t="s">
        <x:v>150</x:v>
      </x:c>
      <x:c r="C15" s="6">
        <x:v>200000</x:v>
      </x:c>
      <x:c r="D15" s="6">
        <x:v>200000</x:v>
      </x:c>
      <x:c r="E15" s="7">
        <x:v>99.854384999999994</x:v>
      </x:c>
      <x:c r="F15" s="7">
        <x:v>103.04758</x:v>
      </x:c>
      <x:c r="G15" s="7">
        <x:v>0.42549373269886948</x:v>
      </x:c>
      <x:c r="H15" s="7">
        <x:v>0.42670429523915071</x:v>
      </x:c>
      <x:c r="I15" s="7">
        <x:v>1.321924920973676E-5</x:v>
      </x:c>
      <x:c r="J15" s="7">
        <x:v>6.1136806900268794E-6</x:v>
      </x:c>
      <x:c r="K15" s="7">
        <x:v>39.543762299472377</x:v>
      </x:c>
      <x:c r="L15" s="7">
        <x:v>38.09570700253223</x:v>
      </x:c>
      <x:c r="M15" s="7">
        <x:v>0.9573912552763707</x:v>
      </x:c>
      <x:c r="N15" s="7">
        <x:v>0.90482571254948441</x:v>
      </x:c>
      <x:c r="O15" s="7">
        <x:v>0.42609901396901012</x:v>
      </x:c>
      <x:c r="P15" s="7">
        <x:v>38.819734651002307</x:v>
      </x:c>
    </x:row>
    <x:row r="16">
      <x:c r="A16" s="2" t="s">
        <x:v>122</x:v>
      </x:c>
      <x:c r="B16" s="2" t="s">
        <x:v>149</x:v>
      </x:c>
      <x:c r="C16" s="6">
        <x:v>200000</x:v>
      </x:c>
      <x:c r="D16" s="6">
        <x:v>200000</x:v>
      </x:c>
      <x:c r="E16" s="7">
        <x:v>98.876630000000006</x:v>
      </x:c>
      <x:c r="F16" s="7">
        <x:v>102.027325</x:v>
      </x:c>
      <x:c r="G16" s="7">
        <x:v>0.41320193659512872</x:v>
      </x:c>
      <x:c r="H16" s="7">
        <x:v>0.41452792180918202</x:v>
      </x:c>
      <x:c r="I16" s="7">
        <x:v>1.001247716472538E-5</x:v>
      </x:c>
      <x:c r="J16" s="7">
        <x:v>5.4887256918673496E-6</x:v>
      </x:c>
      <x:c r="K16" s="7">
        <x:v>39.500564036213611</x:v>
      </x:c>
      <x:c r="L16" s="7">
        <x:v>38.083098473864723</x:v>
      </x:c>
      <x:c r="M16" s="7">
        <x:v>0.95588259834502853</x:v>
      </x:c>
      <x:c r="N16" s="7">
        <x:v>0.90432381717348764</x:v>
      </x:c>
      <x:c r="O16" s="7">
        <x:v>0.41386492920215529</x:v>
      </x:c>
      <x:c r="P16" s="7">
        <x:v>38.79183125503917</x:v>
      </x:c>
    </x:row>
    <x:row r="17">
      <x:c r="A17" s="2" t="s">
        <x:v>125</x:v>
      </x:c>
      <x:c r="B17" s="2" t="s">
        <x:v>149</x:v>
      </x:c>
      <x:c r="C17" s="6">
        <x:v>200000</x:v>
      </x:c>
      <x:c r="D17" s="6">
        <x:v>200000</x:v>
      </x:c>
      <x:c r="E17" s="7">
        <x:v>100.830175</x:v>
      </x:c>
      <x:c r="F17" s="7">
        <x:v>104.09365</x:v>
      </x:c>
      <x:c r="G17" s="7">
        <x:v>0.4230001088463845</x:v>
      </x:c>
      <x:c r="H17" s="7">
        <x:v>0.42429509388901238</x:v>
      </x:c>
      <x:c r="I17" s="7">
        <x:v>1.1206962598249979E-5</x:v>
      </x:c>
      <x:c r="J17" s="7">
        <x:v>4.7553332984288667E-6</x:v>
      </x:c>
      <x:c r="K17" s="7">
        <x:v>39.573682283106223</x:v>
      </x:c>
      <x:c r="L17" s="7">
        <x:v>38.010183570275423</x:v>
      </x:c>
      <x:c r="M17" s="7">
        <x:v>0.95861025729648885</x:v>
      </x:c>
      <x:c r="N17" s="7">
        <x:v>0.90176576573114686</x:v>
      </x:c>
      <x:c r="O17" s="7">
        <x:v>0.42364760136769852</x:v>
      </x:c>
      <x:c r="P17" s="7">
        <x:v>38.791932926690819</x:v>
      </x:c>
    </x:row>
    <x:row r="18">
      <x:c r="A18" s="2" t="s">
        <x:v>128</x:v>
      </x:c>
      <x:c r="B18" s="2" t="s">
        <x:v>150</x:v>
      </x:c>
      <x:c r="C18" s="6">
        <x:v>200000</x:v>
      </x:c>
      <x:c r="D18" s="6">
        <x:v>200000</x:v>
      </x:c>
      <x:c r="E18" s="7">
        <x:v>88.822789999999998</x:v>
      </x:c>
      <x:c r="F18" s="7">
        <x:v>91.475139999999996</x:v>
      </x:c>
      <x:c r="G18" s="7">
        <x:v>0.43340138268568229</x:v>
      </x:c>
      <x:c r="H18" s="7">
        <x:v>0.4344144212296368</x:v>
      </x:c>
      <x:c r="I18" s="7">
        <x:v>9.8510753827930874E-6</x:v>
      </x:c>
      <x:c r="J18" s="7">
        <x:v>6.9964364088428837E-6</x:v>
      </x:c>
      <x:c r="K18" s="7">
        <x:v>39.535860785278203</x:v>
      </x:c>
      <x:c r="L18" s="7">
        <x:v>38.141789069686027</x:v>
      </x:c>
      <x:c r="M18" s="7">
        <x:v>0.95698705253460292</x:v>
      </x:c>
      <x:c r="N18" s="7">
        <x:v>0.90621725203153558</x:v>
      </x:c>
      <x:c r="O18" s="7">
        <x:v>0.4339079019576596</x:v>
      </x:c>
      <x:c r="P18" s="7">
        <x:v>38.838824927482108</x:v>
      </x:c>
    </x:row>
    <x:row r="19">
      <x:c r="A19" s="2" t="s">
        <x:v>131</x:v>
      </x:c>
      <x:c r="B19" s="2" t="s">
        <x:v>149</x:v>
      </x:c>
      <x:c r="C19" s="6">
        <x:v>200000</x:v>
      </x:c>
      <x:c r="D19" s="6">
        <x:v>200000</x:v>
      </x:c>
      <x:c r="E19" s="7">
        <x:v>91.346055000000007</x:v>
      </x:c>
      <x:c r="F19" s="7">
        <x:v>93.957409999999996</x:v>
      </x:c>
      <x:c r="G19" s="7">
        <x:v>0.41455484859198349</x:v>
      </x:c>
      <x:c r="H19" s="7">
        <x:v>0.41561607541118889</x:v>
      </x:c>
      <x:c r="I19" s="7">
        <x:v>1.434106815012427E-5</x:v>
      </x:c>
      <x:c r="J19" s="7">
        <x:v>5.3215600557742064E-6</x:v>
      </x:c>
      <x:c r="K19" s="7">
        <x:v>39.580789394791047</x:v>
      </x:c>
      <x:c r="L19" s="7">
        <x:v>38.185722552377719</x:v>
      </x:c>
      <x:c r="M19" s="7">
        <x:v>0.95884337862209812</x:v>
      </x:c>
      <x:c r="N19" s="7">
        <x:v>0.90821048600637244</x:v>
      </x:c>
      <x:c r="O19" s="7">
        <x:v>0.41508546200158619</x:v>
      </x:c>
      <x:c r="P19" s="7">
        <x:v>38.883255973584383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399999618530273"/>
  <x:cols>
    <x:col min="1" max="2" width="13" customWidth="1"/>
    <x:col min="3" max="3" width="19" customWidth="1"/>
    <x:col min="4" max="5" width="17" customWidth="1"/>
    <x:col min="6" max="6" width="19" customWidth="1"/>
    <x:col min="7" max="7" width="13" customWidth="1"/>
    <x:col min="8" max="8" width="15" customWidth="1"/>
  </x:cols>
  <x:sheetData>
    <x:row r="1">
      <x:c r="A1" s="5" t="s">
        <x:v>151</x:v>
      </x:c>
      <x:c r="B1" s="5" t="s">
        <x:v>152</x:v>
      </x:c>
      <x:c r="C1" s="5" t="s">
        <x:v>153</x:v>
      </x:c>
      <x:c r="D1" s="5" t="s">
        <x:v>154</x:v>
      </x:c>
      <x:c r="E1" s="5" t="s">
        <x:v>155</x:v>
      </x:c>
      <x:c r="F1" s="5" t="s">
        <x:v>148</x:v>
      </x:c>
      <x:c r="G1" s="5" t="s">
        <x:v>74</x:v>
      </x:c>
      <x:c r="H1" s="5" t="s">
        <x:v>156</x:v>
      </x:c>
    </x:row>
    <x:row r="2">
      <x:c r="A2" s="6">
        <x:v>2220524</x:v>
      </x:c>
      <x:c r="B2" s="6">
        <x:v>208675123</x:v>
      </x:c>
      <x:c r="C2" s="7">
        <x:v>93.975621519965557</x:v>
      </x:c>
      <x:c r="D2" s="6">
        <x:v>20</x:v>
      </x:c>
      <x:c r="E2" s="6">
        <x:v>146</x:v>
      </x:c>
      <x:c r="F2" s="7">
        <x:v>38.888695333367551</x:v>
      </x:c>
      <x:c r="G2" s="2" t="s">
        <x:v>80</x:v>
      </x:c>
      <x:c r="H2" s="7">
        <x:v>2</x:v>
      </x:c>
    </x:row>
    <x:row r="3">
      <x:c r="A3" s="6">
        <x:v>2300698</x:v>
      </x:c>
      <x:c r="B3" s="6">
        <x:v>213915505</x:v>
      </x:c>
      <x:c r="C3" s="7">
        <x:v>92.978524343481851</x:v>
      </x:c>
      <x:c r="D3" s="6">
        <x:v>20</x:v>
      </x:c>
      <x:c r="E3" s="6">
        <x:v>146</x:v>
      </x:c>
      <x:c r="F3" s="7">
        <x:v>38.869290891279711</x:v>
      </x:c>
      <x:c r="G3" s="2" t="s">
        <x:v>83</x:v>
      </x:c>
      <x:c r="H3" s="7">
        <x:v>2</x:v>
      </x:c>
    </x:row>
    <x:row r="4">
      <x:c r="A4" s="6">
        <x:v>2209552</x:v>
      </x:c>
      <x:c r="B4" s="6">
        <x:v>216474833</x:v>
      </x:c>
      <x:c r="C4" s="7">
        <x:v>97.972273564957959</x:v>
      </x:c>
      <x:c r="D4" s="6">
        <x:v>20</x:v>
      </x:c>
      <x:c r="E4" s="6">
        <x:v>146</x:v>
      </x:c>
      <x:c r="F4" s="7">
        <x:v>38.827412662792078</x:v>
      </x:c>
      <x:c r="G4" s="2" t="s">
        <x:v>86</x:v>
      </x:c>
      <x:c r="H4" s="7">
        <x:v>2</x:v>
      </x:c>
    </x:row>
    <x:row r="5">
      <x:c r="A5" s="6">
        <x:v>2138774</x:v>
      </x:c>
      <x:c r="B5" s="6">
        <x:v>209827146</x:v>
      </x:c>
      <x:c r="C5" s="7">
        <x:v>98.106273033055388</x:v>
      </x:c>
      <x:c r="D5" s="6">
        <x:v>20</x:v>
      </x:c>
      <x:c r="E5" s="6">
        <x:v>146</x:v>
      </x:c>
      <x:c r="F5" s="7">
        <x:v>38.851869371563581</x:v>
      </x:c>
      <x:c r="G5" s="2" t="s">
        <x:v>89</x:v>
      </x:c>
      <x:c r="H5" s="7">
        <x:v>2</x:v>
      </x:c>
    </x:row>
    <x:row r="6">
      <x:c r="A6" s="6">
        <x:v>2026364</x:v>
      </x:c>
      <x:c r="B6" s="6">
        <x:v>201746971</x:v>
      </x:c>
      <x:c r="C6" s="7">
        <x:v>99.561071456066131</x:v>
      </x:c>
      <x:c r="D6" s="6">
        <x:v>20</x:v>
      </x:c>
      <x:c r="E6" s="6">
        <x:v>146</x:v>
      </x:c>
      <x:c r="F6" s="7">
        <x:v>38.831938681250392</x:v>
      </x:c>
      <x:c r="G6" s="2" t="s">
        <x:v>92</x:v>
      </x:c>
      <x:c r="H6" s="7">
        <x:v>2</x:v>
      </x:c>
    </x:row>
    <x:row r="7">
      <x:c r="A7" s="6">
        <x:v>2340340</x:v>
      </x:c>
      <x:c r="B7" s="6">
        <x:v>233694815</x:v>
      </x:c>
      <x:c r="C7" s="7">
        <x:v>99.85507020347471</x:v>
      </x:c>
      <x:c r="D7" s="6">
        <x:v>20</x:v>
      </x:c>
      <x:c r="E7" s="6">
        <x:v>146</x:v>
      </x:c>
      <x:c r="F7" s="7">
        <x:v>38.74471833703285</x:v>
      </x:c>
      <x:c r="G7" s="2" t="s">
        <x:v>95</x:v>
      </x:c>
      <x:c r="H7" s="7">
        <x:v>2</x:v>
      </x:c>
    </x:row>
    <x:row r="8">
      <x:c r="A8" s="6">
        <x:v>2348168</x:v>
      </x:c>
      <x:c r="B8" s="6">
        <x:v>225510139</x:v>
      </x:c>
      <x:c r="C8" s="7">
        <x:v>96.036628980549949</x:v>
      </x:c>
      <x:c r="D8" s="6">
        <x:v>20</x:v>
      </x:c>
      <x:c r="E8" s="6">
        <x:v>146</x:v>
      </x:c>
      <x:c r="F8" s="7">
        <x:v>38.960869590879007</x:v>
      </x:c>
      <x:c r="G8" s="2" t="s">
        <x:v>98</x:v>
      </x:c>
      <x:c r="H8" s="7">
        <x:v>2</x:v>
      </x:c>
    </x:row>
    <x:row r="9">
      <x:c r="A9" s="6">
        <x:v>2472914</x:v>
      </x:c>
      <x:c r="B9" s="6">
        <x:v>239185900</x:v>
      </x:c>
      <x:c r="C9" s="7">
        <x:v>96.722287956637388</x:v>
      </x:c>
      <x:c r="D9" s="6">
        <x:v>20</x:v>
      </x:c>
      <x:c r="E9" s="6">
        <x:v>146</x:v>
      </x:c>
      <x:c r="F9" s="7">
        <x:v>38.931370076580599</x:v>
      </x:c>
      <x:c r="G9" s="2" t="s">
        <x:v>101</x:v>
      </x:c>
      <x:c r="H9" s="7">
        <x:v>2</x:v>
      </x:c>
    </x:row>
    <x:row r="10">
      <x:c r="A10" s="6">
        <x:v>1529448</x:v>
      </x:c>
      <x:c r="B10" s="6">
        <x:v>166946106</x:v>
      </x:c>
      <x:c r="C10" s="7">
        <x:v>109.1544831860907</x:v>
      </x:c>
      <x:c r="D10" s="6">
        <x:v>20</x:v>
      </x:c>
      <x:c r="E10" s="6">
        <x:v>146</x:v>
      </x:c>
      <x:c r="F10" s="7">
        <x:v>38.780948996797797</x:v>
      </x:c>
      <x:c r="G10" s="2" t="s">
        <x:v>104</x:v>
      </x:c>
      <x:c r="H10" s="7">
        <x:v>2</x:v>
      </x:c>
    </x:row>
    <x:row r="11">
      <x:c r="A11" s="6">
        <x:v>1654732</x:v>
      </x:c>
      <x:c r="B11" s="6">
        <x:v>180682203</x:v>
      </x:c>
      <x:c r="C11" s="7">
        <x:v>109.1912182758296</x:v>
      </x:c>
      <x:c r="D11" s="6">
        <x:v>20</x:v>
      </x:c>
      <x:c r="E11" s="6">
        <x:v>146</x:v>
      </x:c>
      <x:c r="F11" s="7">
        <x:v>38.76185226720974</x:v>
      </x:c>
      <x:c r="G11" s="2" t="s">
        <x:v>107</x:v>
      </x:c>
      <x:c r="H11" s="7">
        <x:v>2</x:v>
      </x:c>
    </x:row>
    <x:row r="12">
      <x:c r="A12" s="6">
        <x:v>1010948</x:v>
      </x:c>
      <x:c r="B12" s="6">
        <x:v>112093812</x:v>
      </x:c>
      <x:c r="C12" s="7">
        <x:v>110.8798988672019</x:v>
      </x:c>
      <x:c r="D12" s="6">
        <x:v>20</x:v>
      </x:c>
      <x:c r="E12" s="6">
        <x:v>146</x:v>
      </x:c>
      <x:c r="F12" s="7">
        <x:v>38.617140016613938</x:v>
      </x:c>
      <x:c r="G12" s="2" t="s">
        <x:v>110</x:v>
      </x:c>
      <x:c r="H12" s="7">
        <x:v>2</x:v>
      </x:c>
    </x:row>
    <x:row r="13">
      <x:c r="A13" s="6">
        <x:v>2180266</x:v>
      </x:c>
      <x:c r="B13" s="6">
        <x:v>227532785</x:v>
      </x:c>
      <x:c r="C13" s="7">
        <x:v>104.3601033084954</x:v>
      </x:c>
      <x:c r="D13" s="6">
        <x:v>20</x:v>
      </x:c>
      <x:c r="E13" s="6">
        <x:v>146</x:v>
      </x:c>
      <x:c r="F13" s="7">
        <x:v>38.804219677617013</x:v>
      </x:c>
      <x:c r="G13" s="2" t="s">
        <x:v>113</x:v>
      </x:c>
      <x:c r="H13" s="7">
        <x:v>2</x:v>
      </x:c>
    </x:row>
    <x:row r="14">
      <x:c r="A14" s="6">
        <x:v>2148636</x:v>
      </x:c>
      <x:c r="B14" s="6">
        <x:v>222230133</x:v>
      </x:c>
      <x:c r="C14" s="7">
        <x:v>103.4284695034431</x:v>
      </x:c>
      <x:c r="D14" s="6">
        <x:v>20</x:v>
      </x:c>
      <x:c r="E14" s="6">
        <x:v>146</x:v>
      </x:c>
      <x:c r="F14" s="7">
        <x:v>38.859802918805798</x:v>
      </x:c>
      <x:c r="G14" s="2" t="s">
        <x:v>116</x:v>
      </x:c>
      <x:c r="H14" s="7">
        <x:v>2</x:v>
      </x:c>
    </x:row>
    <x:row r="15">
      <x:c r="A15" s="6">
        <x:v>1635194</x:v>
      </x:c>
      <x:c r="B15" s="6">
        <x:v>165435940</x:v>
      </x:c>
      <x:c r="C15" s="7">
        <x:v>101.17205664893589</x:v>
      </x:c>
      <x:c r="D15" s="6">
        <x:v>20</x:v>
      </x:c>
      <x:c r="E15" s="6">
        <x:v>146</x:v>
      </x:c>
      <x:c r="F15" s="7">
        <x:v>38.909427770048033</x:v>
      </x:c>
      <x:c r="G15" s="2" t="s">
        <x:v>119</x:v>
      </x:c>
      <x:c r="H15" s="7">
        <x:v>2</x:v>
      </x:c>
    </x:row>
    <x:row r="16">
      <x:c r="A16" s="6">
        <x:v>1985236</x:v>
      </x:c>
      <x:c r="B16" s="6">
        <x:v>198627298</x:v>
      </x:c>
      <x:c r="C16" s="7">
        <x:v>100.0522345957861</x:v>
      </x:c>
      <x:c r="D16" s="6">
        <x:v>20</x:v>
      </x:c>
      <x:c r="E16" s="6">
        <x:v>146</x:v>
      </x:c>
      <x:c r="F16" s="7">
        <x:v>38.886280036896039</x:v>
      </x:c>
      <x:c r="G16" s="2" t="s">
        <x:v>122</x:v>
      </x:c>
      <x:c r="H16" s="7">
        <x:v>2</x:v>
      </x:c>
    </x:row>
    <x:row r="17">
      <x:c r="A17" s="6">
        <x:v>2001108</x:v>
      </x:c>
      <x:c r="B17" s="6">
        <x:v>204429153</x:v>
      </x:c>
      <x:c r="C17" s="7">
        <x:v>102.15798097853791</x:v>
      </x:c>
      <x:c r="D17" s="6">
        <x:v>20</x:v>
      </x:c>
      <x:c r="E17" s="6">
        <x:v>146</x:v>
      </x:c>
      <x:c r="F17" s="7">
        <x:v>38.864844267099222</x:v>
      </x:c>
      <x:c r="G17" s="2" t="s">
        <x:v>125</x:v>
      </x:c>
      <x:c r="H17" s="7">
        <x:v>2</x:v>
      </x:c>
    </x:row>
    <x:row r="18">
      <x:c r="A18" s="6">
        <x:v>1382120</x:v>
      </x:c>
      <x:c r="B18" s="6">
        <x:v>124203133</x:v>
      </x:c>
      <x:c r="C18" s="7">
        <x:v>89.864218012907713</x:v>
      </x:c>
      <x:c r="D18" s="6">
        <x:v>20</x:v>
      </x:c>
      <x:c r="E18" s="6">
        <x:v>146</x:v>
      </x:c>
      <x:c r="F18" s="7">
        <x:v>38.937678496403137</x:v>
      </x:c>
      <x:c r="G18" s="2" t="s">
        <x:v>128</x:v>
      </x:c>
      <x:c r="H18" s="7">
        <x:v>2</x:v>
      </x:c>
    </x:row>
    <x:row r="19">
      <x:c r="A19" s="6">
        <x:v>2611228</x:v>
      </x:c>
      <x:c r="B19" s="6">
        <x:v>240914448</x:v>
      </x:c>
      <x:c r="C19" s="7">
        <x:v>92.26097759368389</x:v>
      </x:c>
      <x:c r="D19" s="6">
        <x:v>20</x:v>
      </x:c>
      <x:c r="E19" s="6">
        <x:v>146</x:v>
      </x:c>
      <x:c r="F19" s="7">
        <x:v>38.96863536802077</x:v>
      </x:c>
      <x:c r="G19" s="2" t="s">
        <x:v>131</x:v>
      </x:c>
      <x:c r="H19" s="7">
        <x:v>2</x:v>
      </x:c>
    </x:row>
    <x:row r="20">
      <x:c r="A20" s="6">
        <x:v>36196250</x:v>
      </x:c>
      <x:c r="B20" s="6">
        <x:v>3592125443</x:v>
      </x:c>
      <x:c r="C20" s="7">
        <x:v>99.240265027454498</x:v>
      </x:c>
      <x:c r="D20" s="6">
        <x:v>20</x:v>
      </x:c>
      <x:c r="E20" s="6">
        <x:v>146</x:v>
      </x:c>
      <x:c r="F20" s="7">
        <x:v>38.859039767299571</x:v>
      </x:c>
      <x:c r="G20" s="2" t="s">
        <x:v>157</x:v>
      </x:c>
      <x:c r="H20" s="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399999618530273"/>
  <x:cols>
    <x:col min="1" max="1" width="13" customWidth="1"/>
    <x:col min="2" max="19" width="11" customWidth="1"/>
  </x:cols>
  <x:sheetData>
    <x:row r="1" ht="28.799999237060547">
      <x:c r="A1" s="5"/>
      <x:c r="B1" s="5" t="s">
        <x:v>80</x:v>
      </x:c>
      <x:c r="C1" s="5" t="s">
        <x:v>83</x:v>
      </x:c>
      <x:c r="D1" s="5" t="s">
        <x:v>86</x:v>
      </x:c>
      <x:c r="E1" s="5" t="s">
        <x:v>89</x:v>
      </x:c>
      <x:c r="F1" s="5" t="s">
        <x:v>92</x:v>
      </x:c>
      <x:c r="G1" s="5" t="s">
        <x:v>95</x:v>
      </x:c>
      <x:c r="H1" s="5" t="s">
        <x:v>98</x:v>
      </x:c>
      <x:c r="I1" s="5" t="s">
        <x:v>101</x:v>
      </x:c>
      <x:c r="J1" s="5" t="s">
        <x:v>104</x:v>
      </x:c>
      <x:c r="K1" s="5" t="s">
        <x:v>107</x:v>
      </x:c>
      <x:c r="L1" s="5" t="s">
        <x:v>110</x:v>
      </x:c>
      <x:c r="M1" s="5" t="s">
        <x:v>113</x:v>
      </x:c>
      <x:c r="N1" s="5" t="s">
        <x:v>116</x:v>
      </x:c>
      <x:c r="O1" s="5" t="s">
        <x:v>119</x:v>
      </x:c>
      <x:c r="P1" s="5" t="s">
        <x:v>122</x:v>
      </x:c>
      <x:c r="Q1" s="5" t="s">
        <x:v>125</x:v>
      </x:c>
      <x:c r="R1" s="5" t="s">
        <x:v>128</x:v>
      </x:c>
      <x:c r="S1" s="5" t="s">
        <x:v>131</x:v>
      </x:c>
    </x:row>
    <x:row r="2">
      <x:c r="A2" s="2" t="s">
        <x:v>80</x:v>
      </x:c>
      <x:c r="B2" s="7">
        <x:v>0</x:v>
      </x:c>
      <x:c r="C2" s="7">
        <x:v>5.347507241548756E-2</x:v>
      </x:c>
      <x:c r="D2" s="7">
        <x:v>5.3371633796202252E-2</x:v>
      </x:c>
      <x:c r="E2" s="7">
        <x:v>5.2731595209133161E-2</x:v>
      </x:c>
      <x:c r="F2" s="7">
        <x:v>5.2302039130609247E-2</x:v>
      </x:c>
      <x:c r="G2" s="7">
        <x:v>5.4934434999468817E-2</x:v>
      </x:c>
      <x:c r="H2" s="7">
        <x:v>5.5079217303246171E-2</x:v>
      </x:c>
      <x:c r="I2" s="7">
        <x:v>5.3151934723647633E-2</x:v>
      </x:c>
      <x:c r="J2" s="7">
        <x:v>5.6363493345108498E-2</x:v>
      </x:c>
      <x:c r="K2" s="7">
        <x:v>5.7018941614445123E-2</x:v>
      </x:c>
      <x:c r="L2" s="7">
        <x:v>5.8261929973608559E-2</x:v>
      </x:c>
      <x:c r="M2" s="7">
        <x:v>5.3045547953177397E-2</x:v>
      </x:c>
      <x:c r="N2" s="7">
        <x:v>5.2544479308432208E-2</x:v>
      </x:c>
      <x:c r="O2" s="7">
        <x:v>5.2487178561585898E-2</x:v>
      </x:c>
      <x:c r="P2" s="7">
        <x:v>5.7028349882691808E-2</x:v>
      </x:c>
      <x:c r="Q2" s="7">
        <x:v>5.4064342920754647E-2</x:v>
      </x:c>
      <x:c r="R2" s="7">
        <x:v>5.6730380453560693E-2</x:v>
      </x:c>
      <x:c r="S2" s="7">
        <x:v>5.8016945818835243E-2</x:v>
      </x:c>
    </x:row>
    <x:row r="3">
      <x:c r="A3" s="2" t="s">
        <x:v>83</x:v>
      </x:c>
      <x:c r="B3" s="7">
        <x:v>5.347507241548756E-2</x:v>
      </x:c>
      <x:c r="C3" s="7">
        <x:v>0</x:v>
      </x:c>
      <x:c r="D3" s="7">
        <x:v>5.5683828745154547E-2</x:v>
      </x:c>
      <x:c r="E3" s="7">
        <x:v>5.3879990989779893E-2</x:v>
      </x:c>
      <x:c r="F3" s="7">
        <x:v>5.3645129555424331E-2</x:v>
      </x:c>
      <x:c r="G3" s="7">
        <x:v>5.5030093505241517E-2</x:v>
      </x:c>
      <x:c r="H3" s="7">
        <x:v>5.3189389133805318E-2</x:v>
      </x:c>
      <x:c r="I3" s="7">
        <x:v>5.358638556269555E-2</x:v>
      </x:c>
      <x:c r="J3" s="7">
        <x:v>5.7394666323819808E-2</x:v>
      </x:c>
      <x:c r="K3" s="7">
        <x:v>5.8715649270132959E-2</x:v>
      </x:c>
      <x:c r="L3" s="7">
        <x:v>6.0037001739517183E-2</x:v>
      </x:c>
      <x:c r="M3" s="7">
        <x:v>5.3434298429581813E-2</x:v>
      </x:c>
      <x:c r="N3" s="7">
        <x:v>5.3483192939786817E-2</x:v>
      </x:c>
      <x:c r="O3" s="7">
        <x:v>5.2200317694767538E-2</x:v>
      </x:c>
      <x:c r="P3" s="7">
        <x:v>5.3180250974969222E-2</x:v>
      </x:c>
      <x:c r="Q3" s="7">
        <x:v>5.3966164749030793E-2</x:v>
      </x:c>
      <x:c r="R3" s="7">
        <x:v>5.3656342697074422E-2</x:v>
      </x:c>
      <x:c r="S3" s="7">
        <x:v>5.5185458432067312E-2</x:v>
      </x:c>
    </x:row>
    <x:row r="4">
      <x:c r="A4" s="2" t="s">
        <x:v>86</x:v>
      </x:c>
      <x:c r="B4" s="7">
        <x:v>5.3371633796202252E-2</x:v>
      </x:c>
      <x:c r="C4" s="7">
        <x:v>5.5683828745154547E-2</x:v>
      </x:c>
      <x:c r="D4" s="7">
        <x:v>0</x:v>
      </x:c>
      <x:c r="E4" s="7">
        <x:v>5.395541722660846E-2</x:v>
      </x:c>
      <x:c r="F4" s="7">
        <x:v>5.4711722065225128E-2</x:v>
      </x:c>
      <x:c r="G4" s="7">
        <x:v>5.4487918378568742E-2</x:v>
      </x:c>
      <x:c r="H4" s="7">
        <x:v>5.7131769782496462E-2</x:v>
      </x:c>
      <x:c r="I4" s="7">
        <x:v>5.3485404424406732E-2</x:v>
      </x:c>
      <x:c r="J4" s="7">
        <x:v>5.4254924846816273E-2</x:v>
      </x:c>
      <x:c r="K4" s="7">
        <x:v>5.461651325405345E-2</x:v>
      </x:c>
      <x:c r="L4" s="7">
        <x:v>5.520491426067637E-2</x:v>
      </x:c>
      <x:c r="M4" s="7">
        <x:v>5.2311489127100597E-2</x:v>
      </x:c>
      <x:c r="N4" s="7">
        <x:v>5.2608087497987351E-2</x:v>
      </x:c>
      <x:c r="O4" s="7">
        <x:v>5.3156330729655928E-2</x:v>
      </x:c>
      <x:c r="P4" s="7">
        <x:v>5.6730816050880373E-2</x:v>
      </x:c>
      <x:c r="Q4" s="7">
        <x:v>5.4793056016514997E-2</x:v>
      </x:c>
      <x:c r="R4" s="7">
        <x:v>5.8215314743573381E-2</x:v>
      </x:c>
      <x:c r="S4" s="7">
        <x:v>6.0337516135153597E-2</x:v>
      </x:c>
    </x:row>
    <x:row r="5">
      <x:c r="A5" s="2" t="s">
        <x:v>89</x:v>
      </x:c>
      <x:c r="B5" s="7">
        <x:v>5.2731595209133161E-2</x:v>
      </x:c>
      <x:c r="C5" s="7">
        <x:v>5.3879990989779893E-2</x:v>
      </x:c>
      <x:c r="D5" s="7">
        <x:v>5.395541722660846E-2</x:v>
      </x:c>
      <x:c r="E5" s="7">
        <x:v>0</x:v>
      </x:c>
      <x:c r="F5" s="7">
        <x:v>5.3611476259314977E-2</x:v>
      </x:c>
      <x:c r="G5" s="7">
        <x:v>5.2038675869721579E-2</x:v>
      </x:c>
      <x:c r="H5" s="7">
        <x:v>5.3821134271190951E-2</x:v>
      </x:c>
      <x:c r="I5" s="7">
        <x:v>5.3800567177576898E-2</x:v>
      </x:c>
      <x:c r="J5" s="7">
        <x:v>5.3159865013532773E-2</x:v>
      </x:c>
      <x:c r="K5" s="7">
        <x:v>5.3680109464205872E-2</x:v>
      </x:c>
      <x:c r="L5" s="7">
        <x:v>5.4186639057982461E-2</x:v>
      </x:c>
      <x:c r="M5" s="7">
        <x:v>5.0025044823631563E-2</x:v>
      </x:c>
      <x:c r="N5" s="7">
        <x:v>5.0193296049490708E-2</x:v>
      </x:c>
      <x:c r="O5" s="7">
        <x:v>5.0127403966990197E-2</x:v>
      </x:c>
      <x:c r="P5" s="7">
        <x:v>5.4952943185664717E-2</x:v>
      </x:c>
      <x:c r="Q5" s="7">
        <x:v>4.919003163991241E-2</x:v>
      </x:c>
      <x:c r="R5" s="7">
        <x:v>5.6060696399037609E-2</x:v>
      </x:c>
      <x:c r="S5" s="7">
        <x:v>5.7777560397260258E-2</x:v>
      </x:c>
    </x:row>
    <x:row r="6">
      <x:c r="A6" s="2" t="s">
        <x:v>92</x:v>
      </x:c>
      <x:c r="B6" s="7">
        <x:v>5.2302039130609247E-2</x:v>
      </x:c>
      <x:c r="C6" s="7">
        <x:v>5.3645129555424331E-2</x:v>
      </x:c>
      <x:c r="D6" s="7">
        <x:v>5.4711722065225128E-2</x:v>
      </x:c>
      <x:c r="E6" s="7">
        <x:v>5.3611476259314977E-2</x:v>
      </x:c>
      <x:c r="F6" s="7">
        <x:v>0</x:v>
      </x:c>
      <x:c r="G6" s="7">
        <x:v>5.6348566978632671E-2</x:v>
      </x:c>
      <x:c r="H6" s="7">
        <x:v>5.5597758849033382E-2</x:v>
      </x:c>
      <x:c r="I6" s="7">
        <x:v>5.3737718490753407E-2</x:v>
      </x:c>
      <x:c r="J6" s="7">
        <x:v>5.4839651537594528E-2</x:v>
      </x:c>
      <x:c r="K6" s="7">
        <x:v>5.5795094921298041E-2</x:v>
      </x:c>
      <x:c r="L6" s="7">
        <x:v>5.6174061255941619E-2</x:v>
      </x:c>
      <x:c r="M6" s="7">
        <x:v>5.1489803057120302E-2</x:v>
      </x:c>
      <x:c r="N6" s="7">
        <x:v>5.1462314671703889E-2</x:v>
      </x:c>
      <x:c r="O6" s="7">
        <x:v>5.1604938543448983E-2</x:v>
      </x:c>
      <x:c r="P6" s="7">
        <x:v>5.3787235842379419E-2</x:v>
      </x:c>
      <x:c r="Q6" s="7">
        <x:v>5.2953806920182173E-2</x:v>
      </x:c>
      <x:c r="R6" s="7">
        <x:v>5.7978183548613338E-2</x:v>
      </x:c>
      <x:c r="S6" s="7">
        <x:v>5.7773241356218821E-2</x:v>
      </x:c>
    </x:row>
    <x:row r="7">
      <x:c r="A7" s="2" t="s">
        <x:v>95</x:v>
      </x:c>
      <x:c r="B7" s="7">
        <x:v>5.4934434999468817E-2</x:v>
      </x:c>
      <x:c r="C7" s="7">
        <x:v>5.5030093505241517E-2</x:v>
      </x:c>
      <x:c r="D7" s="7">
        <x:v>5.4487918378568742E-2</x:v>
      </x:c>
      <x:c r="E7" s="7">
        <x:v>5.2038675869721579E-2</x:v>
      </x:c>
      <x:c r="F7" s="7">
        <x:v>5.6348566978632671E-2</x:v>
      </x:c>
      <x:c r="G7" s="7">
        <x:v>0</x:v>
      </x:c>
      <x:c r="H7" s="7">
        <x:v>5.4474621590936058E-2</x:v>
      </x:c>
      <x:c r="I7" s="7">
        <x:v>5.4559039952837063E-2</x:v>
      </x:c>
      <x:c r="J7" s="7">
        <x:v>5.2783347827097198E-2</x:v>
      </x:c>
      <x:c r="K7" s="7">
        <x:v>5.3083943026076157E-2</x:v>
      </x:c>
      <x:c r="L7" s="7">
        <x:v>5.4540411874809708E-2</x:v>
      </x:c>
      <x:c r="M7" s="7">
        <x:v>5.0746009130141947E-2</x:v>
      </x:c>
      <x:c r="N7" s="7">
        <x:v>5.1106033587476563E-2</x:v>
      </x:c>
      <x:c r="O7" s="7">
        <x:v>5.0744111670578053E-2</x:v>
      </x:c>
      <x:c r="P7" s="7">
        <x:v>5.4646701990541002E-2</x:v>
      </x:c>
      <x:c r="Q7" s="7">
        <x:v>5.2453863748077763E-2</x:v>
      </x:c>
      <x:c r="R7" s="7">
        <x:v>5.4559543984675718E-2</x:v>
      </x:c>
      <x:c r="S7" s="7">
        <x:v>5.8642156235645407E-2</x:v>
      </x:c>
    </x:row>
    <x:row r="8">
      <x:c r="A8" s="2" t="s">
        <x:v>98</x:v>
      </x:c>
      <x:c r="B8" s="7">
        <x:v>5.5079217303246171E-2</x:v>
      </x:c>
      <x:c r="C8" s="7">
        <x:v>5.3189389133805318E-2</x:v>
      </x:c>
      <x:c r="D8" s="7">
        <x:v>5.7131769782496462E-2</x:v>
      </x:c>
      <x:c r="E8" s="7">
        <x:v>5.3821134271190951E-2</x:v>
      </x:c>
      <x:c r="F8" s="7">
        <x:v>5.5597758849033382E-2</x:v>
      </x:c>
      <x:c r="G8" s="7">
        <x:v>5.4474621590936058E-2</x:v>
      </x:c>
      <x:c r="H8" s="7">
        <x:v>0</x:v>
      </x:c>
      <x:c r="I8" s="7">
        <x:v>5.2891601591263999E-2</x:v>
      </x:c>
      <x:c r="J8" s="7">
        <x:v>5.7322080097820943E-2</x:v>
      </x:c>
      <x:c r="K8" s="7">
        <x:v>5.8767884434801028E-2</x:v>
      </x:c>
      <x:c r="L8" s="7">
        <x:v>6.0399898261251243E-2</x:v>
      </x:c>
      <x:c r="M8" s="7">
        <x:v>5.366128837872134E-2</x:v>
      </x:c>
      <x:c r="N8" s="7">
        <x:v>5.2313385310379872E-2</x:v>
      </x:c>
      <x:c r="O8" s="7">
        <x:v>5.1388139471376028E-2</x:v>
      </x:c>
      <x:c r="P8" s="7">
        <x:v>5.5655100732376242E-2</x:v>
      </x:c>
      <x:c r="Q8" s="7">
        <x:v>5.3171610886437147E-2</x:v>
      </x:c>
      <x:c r="R8" s="7">
        <x:v>5.4304360474203013E-2</x:v>
      </x:c>
      <x:c r="S8" s="7">
        <x:v>5.185935474340591E-2</x:v>
      </x:c>
    </x:row>
    <x:row r="9">
      <x:c r="A9" s="2" t="s">
        <x:v>101</x:v>
      </x:c>
      <x:c r="B9" s="7">
        <x:v>5.3151934723647633E-2</x:v>
      </x:c>
      <x:c r="C9" s="7">
        <x:v>5.358638556269555E-2</x:v>
      </x:c>
      <x:c r="D9" s="7">
        <x:v>5.3485404424406732E-2</x:v>
      </x:c>
      <x:c r="E9" s="7">
        <x:v>5.3800567177576898E-2</x:v>
      </x:c>
      <x:c r="F9" s="7">
        <x:v>5.3737718490753407E-2</x:v>
      </x:c>
      <x:c r="G9" s="7">
        <x:v>5.4559039952837063E-2</x:v>
      </x:c>
      <x:c r="H9" s="7">
        <x:v>5.2891601591263999E-2</x:v>
      </x:c>
      <x:c r="I9" s="7">
        <x:v>0</x:v>
      </x:c>
      <x:c r="J9" s="7">
        <x:v>5.5848866291990103E-2</x:v>
      </x:c>
      <x:c r="K9" s="7">
        <x:v>5.6569059842264909E-2</x:v>
      </x:c>
      <x:c r="L9" s="7">
        <x:v>5.7411745651546553E-2</x:v>
      </x:c>
      <x:c r="M9" s="7">
        <x:v>5.1637278336459341E-2</x:v>
      </x:c>
      <x:c r="N9" s="7">
        <x:v>5.1518034581728607E-2</x:v>
      </x:c>
      <x:c r="O9" s="7">
        <x:v>5.0837986554052111E-2</x:v>
      </x:c>
      <x:c r="P9" s="7">
        <x:v>5.4987679903728028E-2</x:v>
      </x:c>
      <x:c r="Q9" s="7">
        <x:v>5.3344504399638462E-2</x:v>
      </x:c>
      <x:c r="R9" s="7">
        <x:v>5.4019673510588513E-2</x:v>
      </x:c>
      <x:c r="S9" s="7">
        <x:v>5.468632446804686E-2</x:v>
      </x:c>
    </x:row>
    <x:row r="10">
      <x:c r="A10" s="2" t="s">
        <x:v>104</x:v>
      </x:c>
      <x:c r="B10" s="7">
        <x:v>5.6363493345108498E-2</x:v>
      </x:c>
      <x:c r="C10" s="7">
        <x:v>5.7394666323819808E-2</x:v>
      </x:c>
      <x:c r="D10" s="7">
        <x:v>5.4254924846816273E-2</x:v>
      </x:c>
      <x:c r="E10" s="7">
        <x:v>5.3159865013532773E-2</x:v>
      </x:c>
      <x:c r="F10" s="7">
        <x:v>5.4839651537594528E-2</x:v>
      </x:c>
      <x:c r="G10" s="7">
        <x:v>5.2783347827097198E-2</x:v>
      </x:c>
      <x:c r="H10" s="7">
        <x:v>5.7322080097820943E-2</x:v>
      </x:c>
      <x:c r="I10" s="7">
        <x:v>5.5848866291990103E-2</x:v>
      </x:c>
      <x:c r="J10" s="7">
        <x:v>0</x:v>
      </x:c>
      <x:c r="K10" s="7">
        <x:v>4.5642546555735068E-2</x:v>
      </x:c>
      <x:c r="L10" s="7">
        <x:v>4.5333046506470569E-2</x:v>
      </x:c>
      <x:c r="M10" s="7">
        <x:v>4.9015386029157199E-2</x:v>
      </x:c>
      <x:c r="N10" s="7">
        <x:v>4.9241610382754E-2</x:v>
      </x:c>
      <x:c r="O10" s="7">
        <x:v>5.0827884450659187E-2</x:v>
      </x:c>
      <x:c r="P10" s="7">
        <x:v>5.571944727354064E-2</x:v>
      </x:c>
      <x:c r="Q10" s="7">
        <x:v>5.2430200390434292E-2</x:v>
      </x:c>
      <x:c r="R10" s="7">
        <x:v>6.0979432676664627E-2</x:v>
      </x:c>
      <x:c r="S10" s="7">
        <x:v>6.2272372882514519E-2</x:v>
      </x:c>
    </x:row>
    <x:row r="11">
      <x:c r="A11" s="2" t="s">
        <x:v>107</x:v>
      </x:c>
      <x:c r="B11" s="7">
        <x:v>5.7018941614445123E-2</x:v>
      </x:c>
      <x:c r="C11" s="7">
        <x:v>5.8715649270132959E-2</x:v>
      </x:c>
      <x:c r="D11" s="7">
        <x:v>5.461651325405345E-2</x:v>
      </x:c>
      <x:c r="E11" s="7">
        <x:v>5.3680109464205872E-2</x:v>
      </x:c>
      <x:c r="F11" s="7">
        <x:v>5.5795094921298041E-2</x:v>
      </x:c>
      <x:c r="G11" s="7">
        <x:v>5.3083943026076157E-2</x:v>
      </x:c>
      <x:c r="H11" s="7">
        <x:v>5.8767884434801028E-2</x:v>
      </x:c>
      <x:c r="I11" s="7">
        <x:v>5.6569059842264909E-2</x:v>
      </x:c>
      <x:c r="J11" s="7">
        <x:v>4.5642546555735068E-2</x:v>
      </x:c>
      <x:c r="K11" s="7">
        <x:v>0</x:v>
      </x:c>
      <x:c r="L11" s="7">
        <x:v>4.5885223589580713E-2</x:v>
      </x:c>
      <x:c r="M11" s="7">
        <x:v>4.9586908910557267E-2</x:v>
      </x:c>
      <x:c r="N11" s="7">
        <x:v>4.9688749527429972E-2</x:v>
      </x:c>
      <x:c r="O11" s="7">
        <x:v>5.1614608835074363E-2</x:v>
      </x:c>
      <x:c r="P11" s="7">
        <x:v>5.597441026870268E-2</x:v>
      </x:c>
      <x:c r="Q11" s="7">
        <x:v>5.2948728922021231E-2</x:v>
      </x:c>
      <x:c r="R11" s="7">
        <x:v>6.1899229370622671E-2</x:v>
      </x:c>
      <x:c r="S11" s="7">
        <x:v>6.3701095236433039E-2</x:v>
      </x:c>
    </x:row>
    <x:row r="12">
      <x:c r="A12" s="2" t="s">
        <x:v>110</x:v>
      </x:c>
      <x:c r="B12" s="7">
        <x:v>5.8261929973608559E-2</x:v>
      </x:c>
      <x:c r="C12" s="7">
        <x:v>6.0037001739517183E-2</x:v>
      </x:c>
      <x:c r="D12" s="7">
        <x:v>5.520491426067637E-2</x:v>
      </x:c>
      <x:c r="E12" s="7">
        <x:v>5.4186639057982461E-2</x:v>
      </x:c>
      <x:c r="F12" s="7">
        <x:v>5.6174061255941619E-2</x:v>
      </x:c>
      <x:c r="G12" s="7">
        <x:v>5.4540411874809708E-2</x:v>
      </x:c>
      <x:c r="H12" s="7">
        <x:v>6.0399898261251243E-2</x:v>
      </x:c>
      <x:c r="I12" s="7">
        <x:v>5.7411745651546553E-2</x:v>
      </x:c>
      <x:c r="J12" s="7">
        <x:v>4.5333046506470569E-2</x:v>
      </x:c>
      <x:c r="K12" s="7">
        <x:v>4.5885223589580713E-2</x:v>
      </x:c>
      <x:c r="L12" s="7">
        <x:v>0</x:v>
      </x:c>
      <x:c r="M12" s="7">
        <x:v>5.0060560227926598E-2</x:v>
      </x:c>
      <x:c r="N12" s="7">
        <x:v>5.0429035915214443E-2</x:v>
      </x:c>
      <x:c r="O12" s="7">
        <x:v>5.2761728001833347E-2</x:v>
      </x:c>
      <x:c r="P12" s="7">
        <x:v>5.7015201209756887E-2</x:v>
      </x:c>
      <x:c r="Q12" s="7">
        <x:v>5.4316662102442938E-2</x:v>
      </x:c>
      <x:c r="R12" s="7">
        <x:v>6.3723844294641285E-2</x:v>
      </x:c>
      <x:c r="S12" s="7">
        <x:v>6.4872259100352617E-2</x:v>
      </x:c>
    </x:row>
    <x:row r="13">
      <x:c r="A13" s="2" t="s">
        <x:v>113</x:v>
      </x:c>
      <x:c r="B13" s="7">
        <x:v>5.3045547953177397E-2</x:v>
      </x:c>
      <x:c r="C13" s="7">
        <x:v>5.3434298429581813E-2</x:v>
      </x:c>
      <x:c r="D13" s="7">
        <x:v>5.2311489127100597E-2</x:v>
      </x:c>
      <x:c r="E13" s="7">
        <x:v>5.0025044823631563E-2</x:v>
      </x:c>
      <x:c r="F13" s="7">
        <x:v>5.1489803057120302E-2</x:v>
      </x:c>
      <x:c r="G13" s="7">
        <x:v>5.0746009130141947E-2</x:v>
      </x:c>
      <x:c r="H13" s="7">
        <x:v>5.366128837872134E-2</x:v>
      </x:c>
      <x:c r="I13" s="7">
        <x:v>5.1637278336459341E-2</x:v>
      </x:c>
      <x:c r="J13" s="7">
        <x:v>4.9015386029157199E-2</x:v>
      </x:c>
      <x:c r="K13" s="7">
        <x:v>4.9586908910557267E-2</x:v>
      </x:c>
      <x:c r="L13" s="7">
        <x:v>5.0060560227926598E-2</x:v>
      </x:c>
      <x:c r="M13" s="7">
        <x:v>0</x:v>
      </x:c>
      <x:c r="N13" s="7">
        <x:v>4.7096489821163767E-2</x:v>
      </x:c>
      <x:c r="O13" s="7">
        <x:v>4.79290442928249E-2</x:v>
      </x:c>
      <x:c r="P13" s="7">
        <x:v>5.1256032321737532E-2</x:v>
      </x:c>
      <x:c r="Q13" s="7">
        <x:v>4.8397362988911161E-2</x:v>
      </x:c>
      <x:c r="R13" s="7">
        <x:v>5.6540116757502673E-2</x:v>
      </x:c>
      <x:c r="S13" s="7">
        <x:v>5.7290141005910497E-2</x:v>
      </x:c>
    </x:row>
    <x:row r="14">
      <x:c r="A14" s="2" t="s">
        <x:v>116</x:v>
      </x:c>
      <x:c r="B14" s="7">
        <x:v>5.2544479308432208E-2</x:v>
      </x:c>
      <x:c r="C14" s="7">
        <x:v>5.3483192939786817E-2</x:v>
      </x:c>
      <x:c r="D14" s="7">
        <x:v>5.2608087497987351E-2</x:v>
      </x:c>
      <x:c r="E14" s="7">
        <x:v>5.0193296049490708E-2</x:v>
      </x:c>
      <x:c r="F14" s="7">
        <x:v>5.1462314671703889E-2</x:v>
      </x:c>
      <x:c r="G14" s="7">
        <x:v>5.1106033587476563E-2</x:v>
      </x:c>
      <x:c r="H14" s="7">
        <x:v>5.2313385310379872E-2</x:v>
      </x:c>
      <x:c r="I14" s="7">
        <x:v>5.1518034581728607E-2</x:v>
      </x:c>
      <x:c r="J14" s="7">
        <x:v>4.9241610382754E-2</x:v>
      </x:c>
      <x:c r="K14" s="7">
        <x:v>4.9688749527429972E-2</x:v>
      </x:c>
      <x:c r="L14" s="7">
        <x:v>5.0429035915214443E-2</x:v>
      </x:c>
      <x:c r="M14" s="7">
        <x:v>4.7096489821163767E-2</x:v>
      </x:c>
      <x:c r="N14" s="7">
        <x:v>0</x:v>
      </x:c>
      <x:c r="O14" s="7">
        <x:v>4.7529550768796662E-2</x:v>
      </x:c>
      <x:c r="P14" s="7">
        <x:v>5.1544718947625412E-2</x:v>
      </x:c>
      <x:c r="Q14" s="7">
        <x:v>4.9139681083146453E-2</x:v>
      </x:c>
      <x:c r="R14" s="7">
        <x:v>5.5836535712068612E-2</x:v>
      </x:c>
      <x:c r="S14" s="7">
        <x:v>5.7117926280209293E-2</x:v>
      </x:c>
    </x:row>
    <x:row r="15">
      <x:c r="A15" s="2" t="s">
        <x:v>119</x:v>
      </x:c>
      <x:c r="B15" s="7">
        <x:v>5.2487178561585898E-2</x:v>
      </x:c>
      <x:c r="C15" s="7">
        <x:v>5.2200317694767538E-2</x:v>
      </x:c>
      <x:c r="D15" s="7">
        <x:v>5.3156330729655928E-2</x:v>
      </x:c>
      <x:c r="E15" s="7">
        <x:v>5.0127403966990197E-2</x:v>
      </x:c>
      <x:c r="F15" s="7">
        <x:v>5.1604938543448983E-2</x:v>
      </x:c>
      <x:c r="G15" s="7">
        <x:v>5.0744111670578053E-2</x:v>
      </x:c>
      <x:c r="H15" s="7">
        <x:v>5.1388139471376028E-2</x:v>
      </x:c>
      <x:c r="I15" s="7">
        <x:v>5.0837986554052111E-2</x:v>
      </x:c>
      <x:c r="J15" s="7">
        <x:v>5.0827884450659187E-2</x:v>
      </x:c>
      <x:c r="K15" s="7">
        <x:v>5.1614608835074363E-2</x:v>
      </x:c>
      <x:c r="L15" s="7">
        <x:v>5.2761728001833347E-2</x:v>
      </x:c>
      <x:c r="M15" s="7">
        <x:v>4.79290442928249E-2</x:v>
      </x:c>
      <x:c r="N15" s="7">
        <x:v>4.7529550768796662E-2</x:v>
      </x:c>
      <x:c r="O15" s="7">
        <x:v>0</x:v>
      </x:c>
      <x:c r="P15" s="7">
        <x:v>5.1523567430806702E-2</x:v>
      </x:c>
      <x:c r="Q15" s="7">
        <x:v>4.8876537376699718E-2</x:v>
      </x:c>
      <x:c r="R15" s="7">
        <x:v>5.4126531955173231E-2</x:v>
      </x:c>
      <x:c r="S15" s="7">
        <x:v>5.4183815026709728E-2</x:v>
      </x:c>
    </x:row>
    <x:row r="16">
      <x:c r="A16" s="2" t="s">
        <x:v>122</x:v>
      </x:c>
      <x:c r="B16" s="7">
        <x:v>5.7028349882691808E-2</x:v>
      </x:c>
      <x:c r="C16" s="7">
        <x:v>5.3180250974969222E-2</x:v>
      </x:c>
      <x:c r="D16" s="7">
        <x:v>5.6730816050880373E-2</x:v>
      </x:c>
      <x:c r="E16" s="7">
        <x:v>5.4952943185664717E-2</x:v>
      </x:c>
      <x:c r="F16" s="7">
        <x:v>5.3787235842379419E-2</x:v>
      </x:c>
      <x:c r="G16" s="7">
        <x:v>5.4646701990541002E-2</x:v>
      </x:c>
      <x:c r="H16" s="7">
        <x:v>5.5655100732376242E-2</x:v>
      </x:c>
      <x:c r="I16" s="7">
        <x:v>5.4987679903728028E-2</x:v>
      </x:c>
      <x:c r="J16" s="7">
        <x:v>5.571944727354064E-2</x:v>
      </x:c>
      <x:c r="K16" s="7">
        <x:v>5.597441026870268E-2</x:v>
      </x:c>
      <x:c r="L16" s="7">
        <x:v>5.7015201209756887E-2</x:v>
      </x:c>
      <x:c r="M16" s="7">
        <x:v>5.1256032321737532E-2</x:v>
      </x:c>
      <x:c r="N16" s="7">
        <x:v>5.1544718947625412E-2</x:v>
      </x:c>
      <x:c r="O16" s="7">
        <x:v>5.1523567430806702E-2</x:v>
      </x:c>
      <x:c r="P16" s="7">
        <x:v>0</x:v>
      </x:c>
      <x:c r="Q16" s="7">
        <x:v>5.3584800342547909E-2</x:v>
      </x:c>
      <x:c r="R16" s="7">
        <x:v>5.6801666202433897E-2</x:v>
      </x:c>
      <x:c r="S16" s="7">
        <x:v>5.8648614492967752E-2</x:v>
      </x:c>
    </x:row>
    <x:row r="17">
      <x:c r="A17" s="2" t="s">
        <x:v>125</x:v>
      </x:c>
      <x:c r="B17" s="7">
        <x:v>5.4064342920754647E-2</x:v>
      </x:c>
      <x:c r="C17" s="7">
        <x:v>5.3966164749030793E-2</x:v>
      </x:c>
      <x:c r="D17" s="7">
        <x:v>5.4793056016514997E-2</x:v>
      </x:c>
      <x:c r="E17" s="7">
        <x:v>4.919003163991241E-2</x:v>
      </x:c>
      <x:c r="F17" s="7">
        <x:v>5.2953806920182173E-2</x:v>
      </x:c>
      <x:c r="G17" s="7">
        <x:v>5.2453863748077763E-2</x:v>
      </x:c>
      <x:c r="H17" s="7">
        <x:v>5.3171610886437147E-2</x:v>
      </x:c>
      <x:c r="I17" s="7">
        <x:v>5.3344504399638462E-2</x:v>
      </x:c>
      <x:c r="J17" s="7">
        <x:v>5.2430200390434292E-2</x:v>
      </x:c>
      <x:c r="K17" s="7">
        <x:v>5.2948728922021231E-2</x:v>
      </x:c>
      <x:c r="L17" s="7">
        <x:v>5.4316662102442938E-2</x:v>
      </x:c>
      <x:c r="M17" s="7">
        <x:v>4.8397362988911161E-2</x:v>
      </x:c>
      <x:c r="N17" s="7">
        <x:v>4.9139681083146453E-2</x:v>
      </x:c>
      <x:c r="O17" s="7">
        <x:v>4.8876537376699718E-2</x:v>
      </x:c>
      <x:c r="P17" s="7">
        <x:v>5.3584800342547909E-2</x:v>
      </x:c>
      <x:c r="Q17" s="7">
        <x:v>0</x:v>
      </x:c>
      <x:c r="R17" s="7">
        <x:v>5.703870890688835E-2</x:v>
      </x:c>
      <x:c r="S17" s="7">
        <x:v>5.7411493528203468E-2</x:v>
      </x:c>
    </x:row>
    <x:row r="18">
      <x:c r="A18" s="2" t="s">
        <x:v>128</x:v>
      </x:c>
      <x:c r="B18" s="7">
        <x:v>5.6730380453560693E-2</x:v>
      </x:c>
      <x:c r="C18" s="7">
        <x:v>5.3656342697074422E-2</x:v>
      </x:c>
      <x:c r="D18" s="7">
        <x:v>5.8215314743573381E-2</x:v>
      </x:c>
      <x:c r="E18" s="7">
        <x:v>5.6060696399037609E-2</x:v>
      </x:c>
      <x:c r="F18" s="7">
        <x:v>5.7978183548613338E-2</x:v>
      </x:c>
      <x:c r="G18" s="7">
        <x:v>5.4559543984675718E-2</x:v>
      </x:c>
      <x:c r="H18" s="7">
        <x:v>5.4304360474203013E-2</x:v>
      </x:c>
      <x:c r="I18" s="7">
        <x:v>5.4019673510588513E-2</x:v>
      </x:c>
      <x:c r="J18" s="7">
        <x:v>6.0979432676664627E-2</x:v>
      </x:c>
      <x:c r="K18" s="7">
        <x:v>6.1899229370622671E-2</x:v>
      </x:c>
      <x:c r="L18" s="7">
        <x:v>6.3723844294641285E-2</x:v>
      </x:c>
      <x:c r="M18" s="7">
        <x:v>5.6540116757502673E-2</x:v>
      </x:c>
      <x:c r="N18" s="7">
        <x:v>5.5836535712068612E-2</x:v>
      </x:c>
      <x:c r="O18" s="7">
        <x:v>5.4126531955173231E-2</x:v>
      </x:c>
      <x:c r="P18" s="7">
        <x:v>5.6801666202433897E-2</x:v>
      </x:c>
      <x:c r="Q18" s="7">
        <x:v>5.703870890688835E-2</x:v>
      </x:c>
      <x:c r="R18" s="7">
        <x:v>0</x:v>
      </x:c>
      <x:c r="S18" s="7">
        <x:v>5.5768469597752612E-2</x:v>
      </x:c>
    </x:row>
    <x:row r="19">
      <x:c r="A19" s="2" t="s">
        <x:v>131</x:v>
      </x:c>
      <x:c r="B19" s="7">
        <x:v>5.8016945818835243E-2</x:v>
      </x:c>
      <x:c r="C19" s="7">
        <x:v>5.5185458432067312E-2</x:v>
      </x:c>
      <x:c r="D19" s="7">
        <x:v>6.0337516135153597E-2</x:v>
      </x:c>
      <x:c r="E19" s="7">
        <x:v>5.7777560397260258E-2</x:v>
      </x:c>
      <x:c r="F19" s="7">
        <x:v>5.7773241356218821E-2</x:v>
      </x:c>
      <x:c r="G19" s="7">
        <x:v>5.8642156235645407E-2</x:v>
      </x:c>
      <x:c r="H19" s="7">
        <x:v>5.185935474340591E-2</x:v>
      </x:c>
      <x:c r="I19" s="7">
        <x:v>5.468632446804686E-2</x:v>
      </x:c>
      <x:c r="J19" s="7">
        <x:v>6.2272372882514519E-2</x:v>
      </x:c>
      <x:c r="K19" s="7">
        <x:v>6.3701095236433039E-2</x:v>
      </x:c>
      <x:c r="L19" s="7">
        <x:v>6.4872259100352617E-2</x:v>
      </x:c>
      <x:c r="M19" s="7">
        <x:v>5.7290141005910497E-2</x:v>
      </x:c>
      <x:c r="N19" s="7">
        <x:v>5.7117926280209293E-2</x:v>
      </x:c>
      <x:c r="O19" s="7">
        <x:v>5.4183815026709728E-2</x:v>
      </x:c>
      <x:c r="P19" s="7">
        <x:v>5.8648614492967752E-2</x:v>
      </x:c>
      <x:c r="Q19" s="7">
        <x:v>5.7411493528203468E-2</x:v>
      </x:c>
      <x:c r="R19" s="7">
        <x:v>5.5768469597752612E-2</x:v>
      </x:c>
      <x:c r="S19" s="7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399999618530273"/>
  <x:cols>
    <x:col min="1" max="1" width="13" customWidth="1"/>
    <x:col min="2" max="3" width="20" customWidth="1"/>
    <x:col min="4" max="4" width="13" customWidth="1"/>
  </x:cols>
  <x:sheetData>
    <x:row r="1">
      <x:c r="A1" s="5" t="s">
        <x:v>74</x:v>
      </x:c>
      <x:c r="B1" s="5" t="s">
        <x:v>158</x:v>
      </x:c>
      <x:c r="C1" s="5" t="s">
        <x:v>159</x:v>
      </x:c>
      <x:c r="D1" s="5" t="s">
        <x:v>134</x:v>
      </x:c>
    </x:row>
    <x:row r="2">
      <x:c r="A2" s="2" t="s">
        <x:v>80</x:v>
      </x:c>
      <x:c r="B2" s="7">
        <x:v>-19.6986736504726</x:v>
      </x:c>
      <x:c r="C2" s="7">
        <x:v>-88.503764939577948</x:v>
      </x:c>
      <x:c r="D2" s="2" t="s">
        <x:v>149</x:v>
      </x:c>
    </x:row>
    <x:row r="3">
      <x:c r="A3" s="2" t="s">
        <x:v>83</x:v>
      </x:c>
      <x:c r="B3" s="7">
        <x:v>-45.189716221745101</x:v>
      </x:c>
      <x:c r="C3" s="7">
        <x:v>-13.31322378325496</x:v>
      </x:c>
      <x:c r="D3" s="2" t="s">
        <x:v>149</x:v>
      </x:c>
    </x:row>
    <x:row r="4">
      <x:c r="A4" s="2" t="s">
        <x:v>86</x:v>
      </x:c>
      <x:c r="B4" s="7">
        <x:v>12.94621249522771</x:v>
      </x:c>
      <x:c r="C4" s="7">
        <x:v>-75.476170364480652</x:v>
      </x:c>
      <x:c r="D4" s="2" t="s">
        <x:v>149</x:v>
      </x:c>
    </x:row>
    <x:row r="5">
      <x:c r="A5" s="2" t="s">
        <x:v>89</x:v>
      </x:c>
      <x:c r="B5" s="7">
        <x:v>3.9819466290869832</x:v>
      </x:c>
      <x:c r="C5" s="7">
        <x:v>-4.3846182700190344</x:v>
      </x:c>
      <x:c r="D5" s="2" t="s">
        <x:v>149</x:v>
      </x:c>
    </x:row>
    <x:row r="6">
      <x:c r="A6" s="2" t="s">
        <x:v>92</x:v>
      </x:c>
      <x:c r="B6" s="7">
        <x:v>-6.7223856976240954</x:v>
      </x:c>
      <x:c r="C6" s="7">
        <x:v>-8.2234660793250018</x:v>
      </x:c>
      <x:c r="D6" s="2" t="s">
        <x:v>149</x:v>
      </x:c>
    </x:row>
    <x:row r="7">
      <x:c r="A7" s="2" t="s">
        <x:v>95</x:v>
      </x:c>
      <x:c r="B7" s="7">
        <x:v>9.2227418302543249</x:v>
      </x:c>
      <x:c r="C7" s="7">
        <x:v>-5.4509555906364904</x:v>
      </x:c>
      <x:c r="D7" s="2" t="s">
        <x:v>149</x:v>
      </x:c>
    </x:row>
    <x:row r="8">
      <x:c r="A8" s="2" t="s">
        <x:v>98</x:v>
      </x:c>
      <x:c r="B8" s="7">
        <x:v>-48.161521520836473</x:v>
      </x:c>
      <x:c r="C8" s="7">
        <x:v>46.556347436723698</x:v>
      </x:c>
      <x:c r="D8" s="2" t="s">
        <x:v>149</x:v>
      </x:c>
    </x:row>
    <x:row r="9">
      <x:c r="A9" s="2" t="s">
        <x:v>101</x:v>
      </x:c>
      <x:c r="B9" s="7">
        <x:v>-28.35650428398468</x:v>
      </x:c>
      <x:c r="C9" s="7">
        <x:v>-5.303994845712082</x:v>
      </x:c>
      <x:c r="D9" s="2" t="s">
        <x:v>149</x:v>
      </x:c>
    </x:row>
    <x:row r="10">
      <x:c r="A10" s="2" t="s">
        <x:v>104</x:v>
      </x:c>
      <x:c r="B10" s="7">
        <x:v>69.215463106933129</x:v>
      </x:c>
      <x:c r="C10" s="7">
        <x:v>18.09250283101278</x:v>
      </x:c>
      <x:c r="D10" s="2" t="s">
        <x:v>150</x:v>
      </x:c>
    </x:row>
    <x:row r="11">
      <x:c r="A11" s="2" t="s">
        <x:v>107</x:v>
      </x:c>
      <x:c r="B11" s="7">
        <x:v>74.914760556882484</x:v>
      </x:c>
      <x:c r="C11" s="7">
        <x:v>9.2627709873016695</x:v>
      </x:c>
      <x:c r="D11" s="2" t="s">
        <x:v>149</x:v>
      </x:c>
    </x:row>
    <x:row r="12">
      <x:c r="A12" s="2" t="s">
        <x:v>110</x:v>
      </x:c>
      <x:c r="B12" s="7">
        <x:v>86.868895385896536</x:v>
      </x:c>
      <x:c r="C12" s="7">
        <x:v>11.886763497773909</x:v>
      </x:c>
      <x:c r="D12" s="2" t="s">
        <x:v>150</x:v>
      </x:c>
    </x:row>
    <x:row r="13">
      <x:c r="A13" s="2" t="s">
        <x:v>113</x:v>
      </x:c>
      <x:c r="B13" s="7">
        <x:v>24.11338275889808</x:v>
      </x:c>
      <x:c r="C13" s="7">
        <x:v>3.8675161211894489</x:v>
      </x:c>
      <x:c r="D13" s="2" t="s">
        <x:v>149</x:v>
      </x:c>
    </x:row>
    <x:row r="14">
      <x:c r="A14" s="2" t="s">
        <x:v>116</x:v>
      </x:c>
      <x:c r="B14" s="7">
        <x:v>20.30431959096213</x:v>
      </x:c>
      <x:c r="C14" s="7">
        <x:v>8.461987455012963</x:v>
      </x:c>
      <x:c r="D14" s="2" t="s">
        <x:v>149</x:v>
      </x:c>
    </x:row>
    <x:row r="15">
      <x:c r="A15" s="2" t="s">
        <x:v>119</x:v>
      </x:c>
      <x:c r="B15" s="7">
        <x:v>0.75459952226252247</x:v>
      </x:c>
      <x:c r="C15" s="7">
        <x:v>23.833496545561609</x:v>
      </x:c>
      <x:c r="D15" s="2" t="s">
        <x:v>150</x:v>
      </x:c>
    </x:row>
    <x:row r="16">
      <x:c r="A16" s="2" t="s">
        <x:v>122</x:v>
      </x:c>
      <x:c r="B16" s="7">
        <x:v>-13.0818009021318</x:v>
      </x:c>
      <x:c r="C16" s="7">
        <x:v>26.369845971967671</x:v>
      </x:c>
      <x:c r="D16" s="2" t="s">
        <x:v>149</x:v>
      </x:c>
    </x:row>
    <x:row r="17">
      <x:c r="A17" s="2" t="s">
        <x:v>125</x:v>
      </x:c>
      <x:c r="B17" s="7">
        <x:v>6.2906676658908838</x:v>
      </x:c>
      <x:c r="C17" s="7">
        <x:v>25.365453102883599</x:v>
      </x:c>
      <x:c r="D17" s="2" t="s">
        <x:v>149</x:v>
      </x:c>
    </x:row>
    <x:row r="18">
      <x:c r="A18" s="2" t="s">
        <x:v>128</x:v>
      </x:c>
      <x:c r="B18" s="7">
        <x:v>-68.10975532785757</x:v>
      </x:c>
      <x:c r="C18" s="7">
        <x:v>-18.0975223760754</x:v>
      </x:c>
      <x:c r="D18" s="2" t="s">
        <x:v>150</x:v>
      </x:c>
    </x:row>
    <x:row r="19">
      <x:c r="A19" s="2" t="s">
        <x:v>131</x:v>
      </x:c>
      <x:c r="B19" s="7">
        <x:v>-79.292631937642454</x:v>
      </x:c>
      <x:c r="C19" s="7">
        <x:v>45.057032299654303</x:v>
      </x:c>
      <x:c r="D19" s="2" t="s">
        <x:v>149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399999618530273"/>
  <x:cols>
    <x:col min="1" max="2" width="13" customWidth="1"/>
    <x:col min="3" max="3" width="19" customWidth="1"/>
  </x:cols>
  <x:sheetData>
    <x:row r="1">
      <x:c r="A1" s="5" t="s">
        <x:v>74</x:v>
      </x:c>
      <x:c r="B1" s="5" t="s">
        <x:v>134</x:v>
      </x:c>
      <x:c r="C1" s="5" t="s">
        <x:v>160</x:v>
      </x:c>
    </x:row>
    <x:row r="2">
      <x:c r="A2" s="2" t="s">
        <x:v>80</x:v>
      </x:c>
      <x:c r="B2" s="2" t="s">
        <x:v>149</x:v>
      </x:c>
      <x:c r="C2" s="7">
        <x:v>9.6600517227455729</x:v>
      </x:c>
    </x:row>
    <x:row r="3">
      <x:c r="A3" s="2" t="s">
        <x:v>83</x:v>
      </x:c>
      <x:c r="B3" s="2" t="s">
        <x:v>149</x:v>
      </x:c>
      <x:c r="C3" s="7">
        <x:v>9.6545957646583389</x:v>
      </x:c>
    </x:row>
    <x:row r="4">
      <x:c r="A4" s="2" t="s">
        <x:v>86</x:v>
      </x:c>
      <x:c r="B4" s="2" t="s">
        <x:v>149</x:v>
      </x:c>
      <x:c r="C4" s="7">
        <x:v>9.6669666096991893</x:v>
      </x:c>
    </x:row>
    <x:row r="5">
      <x:c r="A5" s="2" t="s">
        <x:v>89</x:v>
      </x:c>
      <x:c r="B5" s="2" t="s">
        <x:v>149</x:v>
      </x:c>
      <x:c r="C5" s="7">
        <x:v>9.6572930293437835</x:v>
      </x:c>
    </x:row>
    <x:row r="6">
      <x:c r="A6" s="2" t="s">
        <x:v>92</x:v>
      </x:c>
      <x:c r="B6" s="2" t="s">
        <x:v>149</x:v>
      </x:c>
      <x:c r="C6" s="7">
        <x:v>9.6590832818426371</x:v>
      </x:c>
    </x:row>
    <x:row r="7">
      <x:c r="A7" s="2" t="s">
        <x:v>95</x:v>
      </x:c>
      <x:c r="B7" s="2" t="s">
        <x:v>149</x:v>
      </x:c>
      <x:c r="C7" s="7">
        <x:v>9.6557194926683501</x:v>
      </x:c>
    </x:row>
    <x:row r="8">
      <x:c r="A8" s="2" t="s">
        <x:v>98</x:v>
      </x:c>
      <x:c r="B8" s="2" t="s">
        <x:v>149</x:v>
      </x:c>
      <x:c r="C8" s="7">
        <x:v>9.6481281661954803</x:v>
      </x:c>
    </x:row>
    <x:row r="9">
      <x:c r="A9" s="2" t="s">
        <x:v>101</x:v>
      </x:c>
      <x:c r="B9" s="2" t="s">
        <x:v>149</x:v>
      </x:c>
      <x:c r="C9" s="7">
        <x:v>9.6560592961145701</x:v>
      </x:c>
    </x:row>
    <x:row r="10">
      <x:c r="A10" s="2" t="s">
        <x:v>104</x:v>
      </x:c>
      <x:c r="B10" s="2" t="s">
        <x:v>150</x:v>
      </x:c>
      <x:c r="C10" s="7">
        <x:v>9.6625376778359673</x:v>
      </x:c>
    </x:row>
    <x:row r="11">
      <x:c r="A11" s="2" t="s">
        <x:v>107</x:v>
      </x:c>
      <x:c r="B11" s="2" t="s">
        <x:v>149</x:v>
      </x:c>
      <x:c r="C11" s="7">
        <x:v>9.662567361569927</x:v>
      </x:c>
    </x:row>
    <x:row r="12">
      <x:c r="A12" s="2" t="s">
        <x:v>110</x:v>
      </x:c>
      <x:c r="B12" s="2" t="s">
        <x:v>150</x:v>
      </x:c>
      <x:c r="C12" s="7">
        <x:v>9.6644958430779901</x:v>
      </x:c>
    </x:row>
    <x:row r="13">
      <x:c r="A13" s="2" t="s">
        <x:v>113</x:v>
      </x:c>
      <x:c r="B13" s="2" t="s">
        <x:v>149</x:v>
      </x:c>
      <x:c r="C13" s="7">
        <x:v>9.6592057412886021</x:v>
      </x:c>
    </x:row>
    <x:row r="14">
      <x:c r="A14" s="2" t="s">
        <x:v>116</x:v>
      </x:c>
      <x:c r="B14" s="2" t="s">
        <x:v>149</x:v>
      </x:c>
      <x:c r="C14" s="7">
        <x:v>9.6581036165389893</x:v>
      </x:c>
    </x:row>
    <x:row r="15">
      <x:c r="A15" s="2" t="s">
        <x:v>119</x:v>
      </x:c>
      <x:c r="B15" s="2" t="s">
        <x:v>150</x:v>
      </x:c>
      <x:c r="C15" s="7">
        <x:v>9.6554692477951569</x:v>
      </x:c>
    </x:row>
    <x:row r="16">
      <x:c r="A16" s="2" t="s">
        <x:v>122</x:v>
      </x:c>
      <x:c r="B16" s="2" t="s">
        <x:v>149</x:v>
      </x:c>
      <x:c r="C16" s="7">
        <x:v>9.6559818377754354</x:v>
      </x:c>
    </x:row>
    <x:row r="17">
      <x:c r="A17" s="2" t="s">
        <x:v>125</x:v>
      </x:c>
      <x:c r="B17" s="2" t="s">
        <x:v>149</x:v>
      </x:c>
      <x:c r="C17" s="7">
        <x:v>9.6550738611019788</x:v>
      </x:c>
    </x:row>
    <x:row r="18">
      <x:c r="A18" s="2" t="s">
        <x:v>128</x:v>
      </x:c>
      <x:c r="B18" s="2" t="s">
        <x:v>150</x:v>
      </x:c>
      <x:c r="C18" s="7">
        <x:v>9.6496838411564827</x:v>
      </x:c>
    </x:row>
    <x:row r="19">
      <x:c r="A19" s="2" t="s">
        <x:v>131</x:v>
      </x:c>
      <x:c r="B19" s="2" t="s">
        <x:v>149</x:v>
      </x:c>
      <x:c r="C19" s="7">
        <x:v>9.6465135792335097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.399999618530273"/>
  <x:cols>
    <x:col min="1" max="1" width="13" customWidth="1"/>
    <x:col min="2" max="2" width="12" customWidth="1"/>
  </x:cols>
  <x:sheetData>
    <x:row r="1">
      <x:c r="A1" s="5" t="s">
        <x:v>74</x:v>
      </x:c>
      <x:c r="B1" s="5" t="s">
        <x:v>161</x:v>
      </x:c>
    </x:row>
    <x:row r="2">
      <x:c r="A2" s="2" t="s">
        <x:v>80</x:v>
      </x:c>
      <x:c r="B2" s="2" t="s">
        <x:v>162</x:v>
      </x:c>
    </x:row>
    <x:row r="3">
      <x:c r="A3" s="2" t="s">
        <x:v>83</x:v>
      </x:c>
      <x:c r="B3" s="2" t="s">
        <x:v>163</x:v>
      </x:c>
    </x:row>
    <x:row r="4">
      <x:c r="A4" s="2" t="s">
        <x:v>86</x:v>
      </x:c>
      <x:c r="B4" s="2" t="s">
        <x:v>164</x:v>
      </x:c>
    </x:row>
    <x:row r="5">
      <x:c r="A5" s="2" t="s">
        <x:v>89</x:v>
      </x:c>
      <x:c r="B5" s="2" t="s">
        <x:v>165</x:v>
      </x:c>
    </x:row>
    <x:row r="6">
      <x:c r="A6" s="2" t="s">
        <x:v>92</x:v>
      </x:c>
      <x:c r="B6" s="2" t="s">
        <x:v>162</x:v>
      </x:c>
    </x:row>
    <x:row r="7">
      <x:c r="A7" s="2" t="s">
        <x:v>95</x:v>
      </x:c>
      <x:c r="B7" s="2" t="s">
        <x:v>165</x:v>
      </x:c>
    </x:row>
    <x:row r="8">
      <x:c r="A8" s="2" t="s">
        <x:v>98</x:v>
      </x:c>
      <x:c r="B8" s="2" t="s">
        <x:v>166</x:v>
      </x:c>
    </x:row>
    <x:row r="9">
      <x:c r="A9" s="2" t="s">
        <x:v>101</x:v>
      </x:c>
      <x:c r="B9" s="2" t="s">
        <x:v>162</x:v>
      </x:c>
    </x:row>
    <x:row r="10">
      <x:c r="A10" s="2" t="s">
        <x:v>104</x:v>
      </x:c>
      <x:c r="B10" s="2"/>
    </x:row>
    <x:row r="11">
      <x:c r="A11" s="2" t="s">
        <x:v>107</x:v>
      </x:c>
      <x:c r="B11" s="2" t="s">
        <x:v>165</x:v>
      </x:c>
    </x:row>
    <x:row r="12">
      <x:c r="A12" s="2" t="s">
        <x:v>110</x:v>
      </x:c>
      <x:c r="B12" s="2"/>
    </x:row>
    <x:row r="13">
      <x:c r="A13" s="2" t="s">
        <x:v>113</x:v>
      </x:c>
      <x:c r="B13" s="2" t="s">
        <x:v>165</x:v>
      </x:c>
    </x:row>
    <x:row r="14">
      <x:c r="A14" s="2" t="s">
        <x:v>116</x:v>
      </x:c>
      <x:c r="B14" s="2" t="s">
        <x:v>165</x:v>
      </x:c>
    </x:row>
    <x:row r="15">
      <x:c r="A15" s="2" t="s">
        <x:v>119</x:v>
      </x:c>
      <x:c r="B15" s="2"/>
    </x:row>
    <x:row r="16">
      <x:c r="A16" s="2" t="s">
        <x:v>122</x:v>
      </x:c>
      <x:c r="B16" s="2" t="s">
        <x:v>163</x:v>
      </x:c>
    </x:row>
    <x:row r="17">
      <x:c r="A17" s="2" t="s">
        <x:v>125</x:v>
      </x:c>
      <x:c r="B17" s="2" t="s">
        <x:v>165</x:v>
      </x:c>
    </x:row>
    <x:row r="18">
      <x:c r="A18" s="2" t="s">
        <x:v>128</x:v>
      </x:c>
      <x:c r="B18" s="2"/>
    </x:row>
    <x:row r="19">
      <x:c r="A19" s="2" t="s">
        <x:v>131</x:v>
      </x:c>
      <x:c r="B19" s="2" t="s">
        <x:v>166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4.399999618530273"/>
  <x:cols>
    <x:col min="1" max="4" width="10" customWidth="1"/>
    <x:col min="5" max="5" width="12" customWidth="1"/>
  </x:cols>
  <x:sheetData>
    <x:row r="1">
      <x:c r="A1" s="5" t="s">
        <x:v>167</x:v>
      </x:c>
      <x:c r="B1" s="5" t="s">
        <x:v>168</x:v>
      </x:c>
      <x:c r="C1" s="5" t="s">
        <x:v>169</x:v>
      </x:c>
      <x:c r="D1" s="5" t="s">
        <x:v>170</x:v>
      </x:c>
      <x:c r="E1" s="5" t="s">
        <x:v>171</x:v>
      </x:c>
    </x:row>
    <x:row r="2">
      <x:c r="A2" s="6">
        <x:v>21</x:v>
      </x:c>
      <x:c r="B2" s="6">
        <x:v>16384</x:v>
      </x:c>
      <x:c r="C2" s="6">
        <x:v>4</x:v>
      </x:c>
      <x:c r="D2" s="6">
        <x:v>200000</x:v>
      </x:c>
      <x:c r="E2" s="6">
        <x:v>50000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4.399999618530273"/>
  <x:cols>
    <x:col min="1" max="1" width="10" customWidth="1"/>
    <x:col min="2" max="2" width="20" customWidth="1"/>
    <x:col min="3" max="3" width="13" customWidth="1"/>
  </x:cols>
  <x:sheetData>
    <x:row r="1">
      <x:c r="A1" s="5" t="s">
        <x:v>172</x:v>
      </x:c>
      <x:c r="B1" s="5" t="s">
        <x:v>173</x:v>
      </x:c>
      <x:c r="C1" s="5" t="s">
        <x:v>174</x:v>
      </x:c>
    </x:row>
    <x:row r="2">
      <x:c r="A2" s="6">
        <x:v>16</x:v>
      </x:c>
      <x:c r="B2" s="7">
        <x:v>0.2283209969536194</x:v>
      </x:c>
      <x:c r="C2" s="6">
        <x:v>12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4.399999618530273"/>
  <x:cols>
    <x:col min="1" max="1" width="21" customWidth="1"/>
    <x:col min="2" max="3" width="10" customWidth="1"/>
    <x:col min="4" max="4" width="12" customWidth="1"/>
    <x:col min="5" max="5" width="13" customWidth="1"/>
    <x:col min="6" max="6" width="22" customWidth="1"/>
    <x:col min="7" max="7" width="19" customWidth="1"/>
    <x:col min="8" max="8" width="17" customWidth="1"/>
  </x:cols>
  <x:sheetData>
    <x:row r="1">
      <x:c r="A1" s="5" t="s">
        <x:v>173</x:v>
      </x:c>
      <x:c r="B1" s="5" t="s">
        <x:v>175</x:v>
      </x:c>
      <x:c r="C1" s="5" t="s">
        <x:v>176</x:v>
      </x:c>
      <x:c r="D1" s="5" t="s">
        <x:v>177</x:v>
      </x:c>
      <x:c r="E1" s="5" t="s">
        <x:v>178</x:v>
      </x:c>
      <x:c r="F1" s="5" t="s">
        <x:v>179</x:v>
      </x:c>
      <x:c r="G1" s="5" t="s">
        <x:v>180</x:v>
      </x:c>
      <x:c r="H1" s="5" t="s">
        <x:v>181</x:v>
      </x:c>
    </x:row>
    <x:row r="2">
      <x:c r="A2" s="7">
        <x:v>4.8911249539814072E-2</x:v>
      </x:c>
      <x:c r="B2" s="6">
        <x:v>18</x:v>
      </x:c>
      <x:c r="C2" s="6">
        <x:v>8</x:v>
      </x:c>
      <x:c r="D2" s="6">
        <x:v>13</x:v>
      </x:c>
      <x:c r="E2" s="6">
        <x:v>3</x:v>
      </x:c>
      <x:c r="F2" s="6">
        <x:v>13</x:v>
      </x:c>
      <x:c r="G2" s="7">
        <x:v>1.5808185358593021</x:v>
      </x:c>
      <x:c r="H2" s="6">
        <x:v>3</x:v>
      </x:c>
    </x:row>
    <x:row r="3">
      <x:c r="A3" s="7">
        <x:v>5.0025044823631501E-2</x:v>
      </x:c>
      <x:c r="B3" s="6">
        <x:v>18</x:v>
      </x:c>
      <x:c r="C3" s="6">
        <x:v>15</x:v>
      </x:c>
      <x:c r="D3" s="6">
        <x:v>11</x:v>
      </x:c>
      <x:c r="E3" s="6">
        <x:v>8</x:v>
      </x:c>
      <x:c r="F3" s="6">
        <x:v>11</x:v>
      </x:c>
      <x:c r="G3" s="7">
        <x:v>1.826830456576825</x:v>
      </x:c>
      <x:c r="H3" s="6">
        <x:v>4</x:v>
      </x:c>
    </x:row>
    <x:row r="4">
      <x:c r="A4" s="7">
        <x:v>5.0827884450659097E-2</x:v>
      </x:c>
      <x:c r="B4" s="6">
        <x:v>18</x:v>
      </x:c>
      <x:c r="C4" s="6">
        <x:v>22</x:v>
      </x:c>
      <x:c r="D4" s="6">
        <x:v>10</x:v>
      </x:c>
      <x:c r="E4" s="6">
        <x:v>14</x:v>
      </x:c>
      <x:c r="F4" s="6">
        <x:v>10</x:v>
      </x:c>
      <x:c r="G4" s="7">
        <x:v>1.9809712423357659</x:v>
      </x:c>
      <x:c r="H4" s="6">
        <x:v>5</x:v>
      </x:c>
    </x:row>
    <x:row r="5">
      <x:c r="A5" s="7">
        <x:v>5.15180345817286E-2</x:v>
      </x:c>
      <x:c r="B5" s="6">
        <x:v>18</x:v>
      </x:c>
      <x:c r="C5" s="6">
        <x:v>29</x:v>
      </x:c>
      <x:c r="D5" s="6">
        <x:v>6</x:v>
      </x:c>
      <x:c r="E5" s="6">
        <x:v>17</x:v>
      </x:c>
      <x:c r="F5" s="6">
        <x:v>6</x:v>
      </x:c>
      <x:c r="G5" s="7">
        <x:v>2.2230342455555991</x:v>
      </x:c>
      <x:c r="H5" s="6">
        <x:v>5</x:v>
      </x:c>
    </x:row>
    <x:row r="6">
      <x:c r="A6" s="7">
        <x:v>5.2038675869721503E-2</x:v>
      </x:c>
      <x:c r="B6" s="6">
        <x:v>18</x:v>
      </x:c>
      <x:c r="C6" s="6">
        <x:v>36</x:v>
      </x:c>
      <x:c r="D6" s="6">
        <x:v>5</x:v>
      </x:c>
      <x:c r="E6" s="6">
        <x:v>23</x:v>
      </x:c>
      <x:c r="F6" s="6">
        <x:v>5</x:v>
      </x:c>
      <x:c r="G6" s="7">
        <x:v>2.3313476924151169</x:v>
      </x:c>
      <x:c r="H6" s="6">
        <x:v>5</x:v>
      </x:c>
    </x:row>
    <x:row r="7">
      <x:c r="A7" s="7">
        <x:v>5.2483014209897372E-2</x:v>
      </x:c>
      <x:c r="B7" s="6">
        <x:v>18</x:v>
      </x:c>
      <x:c r="C7" s="6">
        <x:v>42</x:v>
      </x:c>
      <x:c r="D7" s="6">
        <x:v>2</x:v>
      </x:c>
      <x:c r="E7" s="6">
        <x:v>26</x:v>
      </x:c>
      <x:c r="F7" s="6">
        <x:v>2</x:v>
      </x:c>
      <x:c r="G7" s="7">
        <x:v>2.458060526583679</x:v>
      </x:c>
      <x:c r="H7" s="6">
        <x:v>6</x:v>
      </x:c>
    </x:row>
    <x:row r="8">
      <x:c r="A8" s="7">
        <x:v>5.2925877989718317E-2</x:v>
      </x:c>
      <x:c r="B8" s="6">
        <x:v>18</x:v>
      </x:c>
      <x:c r="C8" s="6">
        <x:v>49</x:v>
      </x:c>
      <x:c r="D8" s="6">
        <x:v>2</x:v>
      </x:c>
      <x:c r="E8" s="6">
        <x:v>33</x:v>
      </x:c>
      <x:c r="F8" s="6">
        <x:v>2</x:v>
      </x:c>
      <x:c r="G8" s="7">
        <x:v>2.516552639333939</x:v>
      </x:c>
      <x:c r="H8" s="6">
        <x:v>6</x:v>
      </x:c>
    </x:row>
    <x:row r="9">
      <x:c r="A9" s="7">
        <x:v>5.3163682422226632E-2</x:v>
      </x:c>
      <x:c r="B9" s="6">
        <x:v>18</x:v>
      </x:c>
      <x:c r="C9" s="6">
        <x:v>56</x:v>
      </x:c>
      <x:c r="D9" s="6">
        <x:v>2</x:v>
      </x:c>
      <x:c r="E9" s="6">
        <x:v>40</x:v>
      </x:c>
      <x:c r="F9" s="6">
        <x:v>2</x:v>
      </x:c>
      <x:c r="G9" s="7">
        <x:v>2.5497390838617879</x:v>
      </x:c>
      <x:c r="H9" s="6">
        <x:v>7</x:v>
      </x:c>
    </x:row>
    <x:row r="10">
      <x:c r="A10" s="7">
        <x:v>5.3475478441702459E-2</x:v>
      </x:c>
      <x:c r="B10" s="6">
        <x:v>18</x:v>
      </x:c>
      <x:c r="C10" s="6">
        <x:v>63</x:v>
      </x:c>
      <x:c r="D10" s="6">
        <x:v>2</x:v>
      </x:c>
      <x:c r="E10" s="6">
        <x:v>47</x:v>
      </x:c>
      <x:c r="F10" s="6">
        <x:v>2</x:v>
      </x:c>
      <x:c r="G10" s="7">
        <x:v>2.6144397983133469</x:v>
      </x:c>
      <x:c r="H10" s="6">
        <x:v>7</x:v>
      </x:c>
    </x:row>
    <x:row r="11">
      <x:c r="A11" s="7">
        <x:v>5.3656342697074401E-2</x:v>
      </x:c>
      <x:c r="B11" s="6">
        <x:v>18</x:v>
      </x:c>
      <x:c r="C11" s="6">
        <x:v>70</x:v>
      </x:c>
      <x:c r="D11" s="6">
        <x:v>1</x:v>
      </x:c>
      <x:c r="E11" s="6">
        <x:v>53</x:v>
      </x:c>
      <x:c r="F11" s="6">
        <x:v>1</x:v>
      </x:c>
      <x:c r="G11" s="7">
        <x:v>2.6635979726520551</x:v>
      </x:c>
      <x:c r="H11" s="6">
        <x:v>7</x:v>
      </x:c>
    </x:row>
    <x:row r="12">
      <x:c r="A12" s="7">
        <x:v>5.3879990989779802E-2</x:v>
      </x:c>
      <x:c r="B12" s="6">
        <x:v>18</x:v>
      </x:c>
      <x:c r="C12" s="6">
        <x:v>77</x:v>
      </x:c>
      <x:c r="D12" s="6">
        <x:v>1</x:v>
      </x:c>
      <x:c r="E12" s="6">
        <x:v>60</x:v>
      </x:c>
      <x:c r="F12" s="6">
        <x:v>1</x:v>
      </x:c>
      <x:c r="G12" s="7">
        <x:v>2.6757079067801648</x:v>
      </x:c>
      <x:c r="H12" s="6">
        <x:v>8</x:v>
      </x:c>
    </x:row>
    <x:row r="13">
      <x:c r="A13" s="7">
        <x:v>5.4186639057982398E-2</x:v>
      </x:c>
      <x:c r="B13" s="6">
        <x:v>18</x:v>
      </x:c>
      <x:c r="C13" s="6">
        <x:v>84</x:v>
      </x:c>
      <x:c r="D13" s="6">
        <x:v>1</x:v>
      </x:c>
      <x:c r="E13" s="6">
        <x:v>67</x:v>
      </x:c>
      <x:c r="F13" s="6">
        <x:v>1</x:v>
      </x:c>
      <x:c r="G13" s="7">
        <x:v>2.70956914612306</x:v>
      </x:c>
      <x:c r="H13" s="6">
        <x:v>9</x:v>
      </x:c>
    </x:row>
    <x:row r="14">
      <x:c r="A14" s="7">
        <x:v>5.4558108548935627E-2</x:v>
      </x:c>
      <x:c r="B14" s="6">
        <x:v>18</x:v>
      </x:c>
      <x:c r="C14" s="6">
        <x:v>90</x:v>
      </x:c>
      <x:c r="D14" s="6">
        <x:v>1</x:v>
      </x:c>
      <x:c r="E14" s="6">
        <x:v>73</x:v>
      </x:c>
      <x:c r="F14" s="6">
        <x:v>1</x:v>
      </x:c>
      <x:c r="G14" s="7">
        <x:v>2.733625068613903</x:v>
      </x:c>
      <x:c r="H14" s="6">
        <x:v>9</x:v>
      </x:c>
    </x:row>
    <x:row r="15">
      <x:c r="A15" s="7">
        <x:v>5.4824507993243662E-2</x:v>
      </x:c>
      <x:c r="B15" s="6">
        <x:v>18</x:v>
      </x:c>
      <x:c r="C15" s="6">
        <x:v>97</x:v>
      </x:c>
      <x:c r="D15" s="6">
        <x:v>1</x:v>
      </x:c>
      <x:c r="E15" s="6">
        <x:v>80</x:v>
      </x:c>
      <x:c r="F15" s="6">
        <x:v>1</x:v>
      </x:c>
      <x:c r="G15" s="7">
        <x:v>2.7549136449180298</x:v>
      </x:c>
      <x:c r="H15" s="6">
        <x:v>9</x:v>
      </x:c>
    </x:row>
    <x:row r="16">
      <x:c r="A16" s="7">
        <x:v>5.5193240763510898E-2</x:v>
      </x:c>
      <x:c r="B16" s="6">
        <x:v>18</x:v>
      </x:c>
      <x:c r="C16" s="6">
        <x:v>104</x:v>
      </x:c>
      <x:c r="D16" s="6">
        <x:v>1</x:v>
      </x:c>
      <x:c r="E16" s="6">
        <x:v>87</x:v>
      </x:c>
      <x:c r="F16" s="6">
        <x:v>1</x:v>
      </x:c>
      <x:c r="G16" s="7">
        <x:v>2.7681602896249151</x:v>
      </x:c>
      <x:c r="H16" s="6">
        <x:v>10</x:v>
      </x:c>
    </x:row>
    <x:row r="17">
      <x:c r="A17" s="7">
        <x:v>5.5800275020144327E-2</x:v>
      </x:c>
      <x:c r="B17" s="6">
        <x:v>18</x:v>
      </x:c>
      <x:c r="C17" s="6">
        <x:v>111</x:v>
      </x:c>
      <x:c r="D17" s="6">
        <x:v>1</x:v>
      </x:c>
      <x:c r="E17" s="6">
        <x:v>94</x:v>
      </x:c>
      <x:c r="F17" s="6">
        <x:v>1</x:v>
      </x:c>
      <x:c r="G17" s="7">
        <x:v>2.785399493612136</x:v>
      </x:c>
      <x:c r="H17" s="6">
        <x:v>10</x:v>
      </x:c>
    </x:row>
    <x:row r="18">
      <x:c r="A18" s="7">
        <x:v>5.6363493345108498E-2</x:v>
      </x:c>
      <x:c r="B18" s="6">
        <x:v>18</x:v>
      </x:c>
      <x:c r="C18" s="6">
        <x:v>118</x:v>
      </x:c>
      <x:c r="D18" s="6">
        <x:v>1</x:v>
      </x:c>
      <x:c r="E18" s="6">
        <x:v>101</x:v>
      </x:c>
      <x:c r="F18" s="6">
        <x:v>1</x:v>
      </x:c>
      <x:c r="G18" s="7">
        <x:v>2.7946536316158359</x:v>
      </x:c>
      <x:c r="H18" s="6">
        <x:v>11</x:v>
      </x:c>
    </x:row>
    <x:row r="19">
      <x:c r="A19" s="7">
        <x:v>5.7018941614445103E-2</x:v>
      </x:c>
      <x:c r="B19" s="6">
        <x:v>18</x:v>
      </x:c>
      <x:c r="C19" s="6">
        <x:v>125</x:v>
      </x:c>
      <x:c r="D19" s="6">
        <x:v>1</x:v>
      </x:c>
      <x:c r="E19" s="6">
        <x:v>108</x:v>
      </x:c>
      <x:c r="F19" s="6">
        <x:v>1</x:v>
      </x:c>
      <x:c r="G19" s="7">
        <x:v>2.8038428631556109</x:v>
      </x:c>
      <x:c r="H19" s="6">
        <x:v>12</x:v>
      </x:c>
    </x:row>
    <x:row r="20">
      <x:c r="A20" s="7">
        <x:v>5.7394666323819801E-2</x:v>
      </x:c>
      <x:c r="B20" s="6">
        <x:v>18</x:v>
      </x:c>
      <x:c r="C20" s="6">
        <x:v>132</x:v>
      </x:c>
      <x:c r="D20" s="6">
        <x:v>1</x:v>
      </x:c>
      <x:c r="E20" s="6">
        <x:v>115</x:v>
      </x:c>
      <x:c r="F20" s="6">
        <x:v>1</x:v>
      </x:c>
      <x:c r="G20" s="7">
        <x:v>2.8128310601309878</x:v>
      </x:c>
      <x:c r="H20" s="6">
        <x:v>14</x:v>
      </x:c>
    </x:row>
    <x:row r="21">
      <x:c r="A21" s="7">
        <x:v>5.8215314743573297E-2</x:v>
      </x:c>
      <x:c r="B21" s="6">
        <x:v>18</x:v>
      </x:c>
      <x:c r="C21" s="6">
        <x:v>139</x:v>
      </x:c>
      <x:c r="D21" s="6">
        <x:v>1</x:v>
      </x:c>
      <x:c r="E21" s="6">
        <x:v>122</x:v>
      </x:c>
      <x:c r="F21" s="6">
        <x:v>1</x:v>
      </x:c>
      <x:c r="G21" s="7">
        <x:v>2.8232210963446009</x:v>
      </x:c>
      <x:c r="H21" s="6">
        <x:v>14</x:v>
      </x:c>
    </x:row>
    <x:row r="22">
      <x:c r="A22" s="7">
        <x:v>6.0262387536244473E-2</x:v>
      </x:c>
      <x:c r="B22" s="6">
        <x:v>18</x:v>
      </x:c>
      <x:c r="C22" s="6">
        <x:v>145</x:v>
      </x:c>
      <x:c r="D22" s="6">
        <x:v>1</x:v>
      </x:c>
      <x:c r="E22" s="6">
        <x:v>128</x:v>
      </x:c>
      <x:c r="F22" s="6">
        <x:v>1</x:v>
      </x:c>
      <x:c r="G22" s="7">
        <x:v>2.8283801301568712</x:v>
      </x:c>
      <x:c r="H22" s="6">
        <x:v>15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4.399999618530273"/>
  <x:cols>
    <x:col min="1" max="1" width="13" customWidth="1"/>
    <x:col min="2" max="2" width="10" customWidth="1"/>
    <x:col min="3" max="3" width="22" customWidth="1"/>
    <x:col min="4" max="4" width="19" customWidth="1"/>
    <x:col min="5" max="5" width="21" customWidth="1"/>
    <x:col min="6" max="7" width="20" customWidth="1"/>
    <x:col min="8" max="8" width="21" customWidth="1"/>
    <x:col min="9" max="11" width="22" customWidth="1"/>
  </x:cols>
  <x:sheetData>
    <x:row r="1">
      <x:c r="A1" s="5" t="s">
        <x:v>74</x:v>
      </x:c>
      <x:c r="B1" s="5" t="s">
        <x:v>182</x:v>
      </x:c>
      <x:c r="C1" s="5" t="s">
        <x:v>183</x:v>
      </x:c>
      <x:c r="D1" s="5" t="s">
        <x:v>184</x:v>
      </x:c>
      <x:c r="E1" s="5" t="s">
        <x:v>185</x:v>
      </x:c>
      <x:c r="F1" s="5" t="s">
        <x:v>186</x:v>
      </x:c>
      <x:c r="G1" s="5" t="s">
        <x:v>187</x:v>
      </x:c>
      <x:c r="H1" s="5" t="s">
        <x:v>188</x:v>
      </x:c>
      <x:c r="I1" s="5" t="s">
        <x:v>189</x:v>
      </x:c>
      <x:c r="J1" s="5" t="s">
        <x:v>190</x:v>
      </x:c>
      <x:c r="K1" s="5" t="s">
        <x:v>191</x:v>
      </x:c>
    </x:row>
    <x:row r="2">
      <x:c r="A2" s="2" t="s">
        <x:v>119</x:v>
      </x:c>
      <x:c r="B2" s="6">
        <x:v>14</x:v>
      </x:c>
      <x:c r="C2" s="7">
        <x:v>0.36029411764705882</x:v>
      </x:c>
      <x:c r="D2" s="7">
        <x:v>16.85398546030298</x:v>
      </x:c>
      <x:c r="E2" s="7">
        <x:v>5.1193961003104659E-2</x:v>
      </x:c>
      <x:c r="F2" s="7">
        <x:v>0.21351412720280549</x:v>
      </x:c>
      <x:c r="G2" s="7">
        <x:v>-2.285714285714286</x:v>
      </x:c>
      <x:c r="H2" s="7">
        <x:v>3.1178921478232779</x:v>
      </x:c>
      <x:c r="I2" s="7">
        <x:v>5.4099058991466202E-4</x:v>
      </x:c>
      <x:c r="J2" s="7">
        <x:v>-0.79764326718640799</x:v>
      </x:c>
      <x:c r="K2" s="7">
        <x:v>3.9160764055996</x:v>
      </x:c>
    </x:row>
    <x:row r="3">
      <x:c r="A3" s="2" t="s">
        <x:v>113</x:v>
      </x:c>
      <x:c r="B3" s="6">
        <x:v>13</x:v>
      </x:c>
      <x:c r="C3" s="7">
        <x:v>0.27205882352941169</x:v>
      </x:c>
      <x:c r="D3" s="7">
        <x:v>16.09677310364523</x:v>
      </x:c>
      <x:c r="E3" s="7">
        <x:v>5.0229669807408728E-2</x:v>
      </x:c>
      <x:c r="F3" s="7">
        <x:v>0.12717781793334351</x:v>
      </x:c>
      <x:c r="G3" s="7">
        <x:v>-3.4615384615384621</x:v>
      </x:c>
      <x:c r="H3" s="7">
        <x:v>2.252256281589565</x:v>
      </x:c>
      <x:c r="I3" s="7">
        <x:v>-0.46943907511264038</x:v>
      </x:c>
      <x:c r="J3" s="7">
        <x:v>-2.0379639914859609</x:v>
      </x:c>
      <x:c r="K3" s="7">
        <x:v>3.8207811979628858</x:v>
      </x:c>
    </x:row>
    <x:row r="4">
      <x:c r="A4" s="2" t="s">
        <x:v>116</x:v>
      </x:c>
      <x:c r="B4" s="6">
        <x:v>14</x:v>
      </x:c>
      <x:c r="C4" s="7">
        <x:v>0.125</x:v>
      </x:c>
      <x:c r="D4" s="7">
        <x:v>16.839773188157331</x:v>
      </x:c>
      <x:c r="E4" s="7">
        <x:v>5.0458247675237801E-2</x:v>
      </x:c>
      <x:c r="F4" s="7">
        <x:v>0.13965327344550221</x:v>
      </x:c>
      <x:c r="G4" s="7">
        <x:v>-3.4285714285714279</x:v>
      </x:c>
      <x:c r="H4" s="7">
        <x:v>0.80952983786671229</x:v>
      </x:c>
      <x:c r="I4" s="7">
        <x:v>-0.35803388773775469</x:v>
      </x:c>
      <x:c r="J4" s="7">
        <x:v>-1.8587396749992171</x:v>
      </x:c>
      <x:c r="K4" s="7">
        <x:v>2.3102356251281742</x:v>
      </x:c>
    </x:row>
    <x:row r="5">
      <x:c r="A5" s="2" t="s">
        <x:v>122</x:v>
      </x:c>
      <x:c r="B5" s="6">
        <x:v>4</x:v>
      </x:c>
      <x:c r="C5" s="7">
        <x:v>0</x:v>
      </x:c>
      <x:c r="D5" s="7">
        <x:v>11.040202120654889</x:v>
      </x:c>
      <x:c r="E5" s="7">
        <x:v>5.1876142418784701E-2</x:v>
      </x:c>
      <x:c r="F5" s="7">
        <x:v>0.18322520590273811</x:v>
      </x:c>
      <x:c r="G5" s="7">
        <x:v>-4.25</x:v>
      </x:c>
      <x:c r="H5" s="7">
        <x:v>-0.41678763929771317</x:v>
      </x:c>
      <x:c r="I5" s="7">
        <x:v>0.33302527333915483</x:v>
      </x:c>
      <x:c r="J5" s="7">
        <x:v>-1.232778578424921</x:v>
      </x:c>
      <x:c r="K5" s="7">
        <x:v>1.1490162124663621</x:v>
      </x:c>
    </x:row>
    <x:row r="6">
      <x:c r="A6" s="2" t="s">
        <x:v>101</x:v>
      </x:c>
      <x:c r="B6" s="6">
        <x:v>6</x:v>
      </x:c>
      <x:c r="C6" s="7">
        <x:v>0</x:v>
      </x:c>
      <x:c r="D6" s="7">
        <x:v>11.8340977996418</x:v>
      </x:c>
      <x:c r="E6" s="7">
        <x:v>5.2598483173689883E-2</x:v>
      </x:c>
      <x:c r="F6" s="7">
        <x:v>0.20850093658837521</x:v>
      </x:c>
      <x:c r="G6" s="7">
        <x:v>-2.166666666666667</x:v>
      </x:c>
      <x:c r="H6" s="7">
        <x:v>-0.41678763929771317</x:v>
      </x:c>
      <x:c r="I6" s="7">
        <x:v>0.68508257404380335</x:v>
      </x:c>
      <x:c r="J6" s="7">
        <x:v>-0.86966353613878156</x:v>
      </x:c>
      <x:c r="K6" s="7">
        <x:v>1.137958470884872</x:v>
      </x:c>
    </x:row>
    <x:row r="7">
      <x:c r="A7" s="2" t="s">
        <x:v>83</x:v>
      </x:c>
      <x:c r="B7" s="6">
        <x:v>6</x:v>
      </x:c>
      <x:c r="C7" s="7">
        <x:v>0</x:v>
      </x:c>
      <x:c r="D7" s="7">
        <x:v>11.70171592976792</x:v>
      </x:c>
      <x:c r="E7" s="7">
        <x:v>5.3474342893710919E-2</x:v>
      </x:c>
      <x:c r="F7" s="7">
        <x:v>0.26671181734692279</x:v>
      </x:c>
      <x:c r="G7" s="7">
        <x:v>-1.5</x:v>
      </x:c>
      <x:c r="H7" s="7">
        <x:v>-0.41678763929771317</x:v>
      </x:c>
      <x:c r="I7" s="7">
        <x:v>1.111962556562603</x:v>
      </x:c>
      <x:c r="J7" s="7">
        <x:v>-3.3397052251745871E-2</x:v>
      </x:c>
      <x:c r="K7" s="7">
        <x:v>0.72857196951663517</x:v>
      </x:c>
    </x:row>
    <x:row r="8">
      <x:c r="A8" s="2" t="s">
        <x:v>86</x:v>
      </x:c>
      <x:c r="B8" s="6">
        <x:v>4</x:v>
      </x:c>
      <x:c r="C8" s="7">
        <x:v>0</x:v>
      </x:c>
      <x:c r="D8" s="7">
        <x:v>10.904499663248069</x:v>
      </x:c>
      <x:c r="E8" s="7">
        <x:v>5.2861885287736499E-2</x:v>
      </x:c>
      <x:c r="F8" s="7">
        <x:v>0.26202808061976529</x:v>
      </x:c>
      <x:c r="G8" s="7">
        <x:v>-4</x:v>
      </x:c>
      <x:c r="H8" s="7">
        <x:v>-0.41678763929771317</x:v>
      </x:c>
      <x:c r="I8" s="7">
        <x:v>0.81346054059412654</x:v>
      </x:c>
      <x:c r="J8" s="7">
        <x:v>-0.1006843358872435</x:v>
      </x:c>
      <x:c r="K8" s="7">
        <x:v>0.49735723718365688</x:v>
      </x:c>
    </x:row>
    <x:row r="9">
      <x:c r="A9" s="2" t="s">
        <x:v>92</x:v>
      </x:c>
      <x:c r="B9" s="6">
        <x:v>4</x:v>
      </x:c>
      <x:c r="C9" s="7">
        <x:v>0</x:v>
      </x:c>
      <x:c r="D9" s="7">
        <x:v>11.032242855539209</x:v>
      </x:c>
      <x:c r="E9" s="7">
        <x:v>5.1714773850720562E-2</x:v>
      </x:c>
      <x:c r="F9" s="7">
        <x:v>0.24569435280864349</x:v>
      </x:c>
      <x:c r="G9" s="7">
        <x:v>-4</x:v>
      </x:c>
      <x:c r="H9" s="7">
        <x:v>-0.41678763929771317</x:v>
      </x:c>
      <x:c r="I9" s="7">
        <x:v>0.25437682092185271</x:v>
      </x:c>
      <x:c r="J9" s="7">
        <x:v>-0.33533718682128499</x:v>
      </x:c>
      <x:c r="K9" s="7">
        <x:v>0.1729263684454245</x:v>
      </x:c>
    </x:row>
    <x:row r="10">
      <x:c r="A10" s="2" t="s">
        <x:v>128</x:v>
      </x:c>
      <x:c r="B10" s="6">
        <x:v>4</x:v>
      </x:c>
      <x:c r="C10" s="7">
        <x:v>0</x:v>
      </x:c>
      <x:c r="D10" s="7">
        <x:v>9.8968646639481079</x:v>
      </x:c>
      <x:c r="E10" s="7">
        <x:v>5.4026727159259783E-2</x:v>
      </x:c>
      <x:c r="F10" s="7">
        <x:v>0.32687138204305538</x:v>
      </x:c>
      <x:c r="G10" s="7">
        <x:v>-0.5</x:v>
      </x:c>
      <x:c r="H10" s="7">
        <x:v>-0.41678763929771317</x:v>
      </x:c>
      <x:c r="I10" s="7">
        <x:v>1.381185789725432</x:v>
      </x:c>
      <x:c r="J10" s="7">
        <x:v>0.83086452539535283</x:v>
      </x:c>
      <x:c r="K10" s="7">
        <x:v>0.13353362503236621</x:v>
      </x:c>
    </x:row>
    <x:row r="11">
      <x:c r="A11" s="2" t="s">
        <x:v>131</x:v>
      </x:c>
      <x:c r="B11" s="6">
        <x:v>4</x:v>
      </x:c>
      <x:c r="C11" s="7">
        <x:v>0</x:v>
      </x:c>
      <x:c r="D11" s="7">
        <x:v>9.8940109335286515</x:v>
      </x:c>
      <x:c r="E11" s="7">
        <x:v>5.3978738167557418E-2</x:v>
      </x:c>
      <x:c r="F11" s="7">
        <x:v>0.32797354198911077</x:v>
      </x:c>
      <x:c r="G11" s="7">
        <x:v>-0.5</x:v>
      </x:c>
      <x:c r="H11" s="7">
        <x:v>-0.41678763929771317</x:v>
      </x:c>
      <x:c r="I11" s="7">
        <x:v>1.357796724706547</x:v>
      </x:c>
      <x:c r="J11" s="7">
        <x:v>0.84669832503483833</x:v>
      </x:c>
      <x:c r="K11" s="7">
        <x:v>9.4310760373995883E-2</x:v>
      </x:c>
    </x:row>
    <x:row r="12">
      <x:c r="A12" s="2" t="s">
        <x:v>80</x:v>
      </x:c>
      <x:c r="B12" s="6">
        <x:v>5</x:v>
      </x:c>
      <x:c r="C12" s="7">
        <x:v>0</x:v>
      </x:c>
      <x:c r="D12" s="7">
        <x:v>11.304325194730581</x:v>
      </x:c>
      <x:c r="E12" s="7">
        <x:v>5.2687385201192517E-2</x:v>
      </x:c>
      <x:c r="F12" s="7">
        <x:v>0.29759597555839318</x:v>
      </x:c>
      <x:c r="G12" s="7">
        <x:v>-1</x:v>
      </x:c>
      <x:c r="H12" s="7">
        <x:v>-0.41678763929771317</x:v>
      </x:c>
      <x:c r="I12" s="7">
        <x:v>0.72841199664278</x:v>
      </x:c>
      <x:c r="J12" s="7">
        <x:v>0.4102895241882577</x:v>
      </x:c>
      <x:c r="K12" s="7">
        <x:v>-9.8665166843190877E-2</x:v>
      </x:c>
    </x:row>
    <x:row r="13">
      <x:c r="A13" s="2" t="s">
        <x:v>95</x:v>
      </x:c>
      <x:c r="B13" s="6">
        <x:v>4</x:v>
      </x:c>
      <x:c r="C13" s="7">
        <x:v>0</x:v>
      </x:c>
      <x:c r="D13" s="7">
        <x:v>11.099046693141119</x:v>
      </x:c>
      <x:c r="E13" s="7">
        <x:v>5.1158707564479468E-2</x:v>
      </x:c>
      <x:c r="F13" s="7">
        <x:v>0.28367635069101282</x:v>
      </x:c>
      <x:c r="G13" s="7">
        <x:v>-2.75</x:v>
      </x:c>
      <x:c r="H13" s="7">
        <x:v>-0.41678763929771317</x:v>
      </x:c>
      <x:c r="I13" s="7">
        <x:v>-1.6640970082605431E-2</x:v>
      </x:c>
      <x:c r="J13" s="7">
        <x:v>0.21031804818269259</x:v>
      </x:c>
      <x:c r="K13" s="7">
        <x:v>-0.6437466575630113</x:v>
      </x:c>
    </x:row>
    <x:row r="14">
      <x:c r="A14" s="2" t="s">
        <x:v>98</x:v>
      </x:c>
      <x:c r="B14" s="6">
        <x:v>6</x:v>
      </x:c>
      <x:c r="C14" s="7">
        <x:v>7.3529411764705881E-3</x:v>
      </x:c>
      <x:c r="D14" s="7">
        <x:v>11.80719535504389</x:v>
      </x:c>
      <x:c r="E14" s="7">
        <x:v>5.2657705120739001E-2</x:v>
      </x:c>
      <x:c r="F14" s="7">
        <x:v>0.36164774018480522</x:v>
      </x:c>
      <x:c r="G14" s="7">
        <x:v>0</x:v>
      </x:c>
      <x:c r="H14" s="7">
        <x:v>-0.34465131711157049</x:v>
      </x:c>
      <x:c r="I14" s="7">
        <x:v>0.71394640137045817</x:v>
      </x:c>
      <x:c r="J14" s="7">
        <x:v>1.3304670458627481</x:v>
      </x:c>
      <x:c r="K14" s="7">
        <x:v>-0.96117196160386043</x:v>
      </x:c>
    </x:row>
    <x:row r="15">
      <x:c r="A15" s="2" t="s">
        <x:v>125</x:v>
      </x:c>
      <x:c r="B15" s="6">
        <x:v>4</x:v>
      </x:c>
      <x:c r="C15" s="7">
        <x:v>0</x:v>
      </x:c>
      <x:c r="D15" s="7">
        <x:v>11.353508242432691</x:v>
      </x:c>
      <x:c r="E15" s="7">
        <x:v>4.8900903272167402E-2</x:v>
      </x:c>
      <x:c r="F15" s="7">
        <x:v>0.2515116581047952</x:v>
      </x:c>
      <x:c r="G15" s="7">
        <x:v>-2.75</x:v>
      </x:c>
      <x:c r="H15" s="7">
        <x:v>-0.41678763929771317</x:v>
      </x:c>
      <x:c r="I15" s="7">
        <x:v>-1.1170585766941901</x:v>
      </x:c>
      <x:c r="J15" s="7">
        <x:v>-0.2517648824287621</x:v>
      </x:c>
      <x:c r="K15" s="7">
        <x:v>-1.2820813335631409</x:v>
      </x:c>
    </x:row>
    <x:row r="16">
      <x:c r="A16" s="2" t="s">
        <x:v>89</x:v>
      </x:c>
      <x:c r="B16" s="6">
        <x:v>6</x:v>
      </x:c>
      <x:c r="C16" s="7">
        <x:v>0</x:v>
      </x:c>
      <x:c r="D16" s="7">
        <x:v>11.95877481067051</x:v>
      </x:c>
      <x:c r="E16" s="7">
        <x:v>5.0717674593146571E-2</x:v>
      </x:c>
      <x:c r="F16" s="7">
        <x:v>0.31735621121669649</x:v>
      </x:c>
      <x:c r="G16" s="7">
        <x:v>0</x:v>
      </x:c>
      <x:c r="H16" s="7">
        <x:v>-0.41678763929771317</x:v>
      </x:c>
      <x:c r="I16" s="7">
        <x:v>-0.23159336803998731</x:v>
      </x:c>
      <x:c r="J16" s="7">
        <x:v>0.69416811491585217</x:v>
      </x:c>
      <x:c r="K16" s="7">
        <x:v>-1.3425491222535531</x:v>
      </x:c>
    </x:row>
    <x:row r="17">
      <x:c r="A17" s="2" t="s">
        <x:v>110</x:v>
      </x:c>
      <x:c r="B17" s="6">
        <x:v>4</x:v>
      </x:c>
      <x:c r="C17" s="7">
        <x:v>0</x:v>
      </x:c>
      <x:c r="D17" s="7">
        <x:v>10.56299712301265</x:v>
      </x:c>
      <x:c r="E17" s="7">
        <x:v>4.7926966559798057E-2</x:v>
      </x:c>
      <x:c r="F17" s="7">
        <x:v>0.34982718406319863</x:v>
      </x:c>
      <x:c r="G17" s="7">
        <x:v>0.25</x:v>
      </x:c>
      <x:c r="H17" s="7">
        <x:v>-0.41678763929771317</x:v>
      </x:c>
      <x:c r="I17" s="7">
        <x:v>-1.5917397125508019</x:v>
      </x:c>
      <x:c r="J17" s="7">
        <x:v>1.160651114947568</x:v>
      </x:c>
      <x:c r="K17" s="7">
        <x:v>-3.1691784667960832</x:v>
      </x:c>
    </x:row>
    <x:row r="18">
      <x:c r="A18" s="2" t="s">
        <x:v>107</x:v>
      </x:c>
      <x:c r="B18" s="6">
        <x:v>4</x:v>
      </x:c>
      <x:c r="C18" s="7">
        <x:v>0</x:v>
      </x:c>
      <x:c r="D18" s="7">
        <x:v>10.6185013014088</x:v>
      </x:c>
      <x:c r="E18" s="7">
        <x:v>4.7700857145825698E-2</x:v>
      </x:c>
      <x:c r="F18" s="7">
        <x:v>0.34290090215027308</x:v>
      </x:c>
      <x:c r="G18" s="7">
        <x:v>0.25</x:v>
      </x:c>
      <x:c r="H18" s="7">
        <x:v>-0.41678763929771317</x:v>
      </x:c>
      <x:c r="I18" s="7">
        <x:v>-1.7019418150992991</x:v>
      </x:c>
      <x:c r="J18" s="7">
        <x:v>1.061147081573496</x:v>
      </x:c>
      <x:c r="K18" s="7">
        <x:v>-3.1798765359705081</x:v>
      </x:c>
    </x:row>
    <x:row r="19">
      <x:c r="A19" s="2" t="s">
        <x:v>104</x:v>
      </x:c>
      <x:c r="B19" s="6">
        <x:v>4</x:v>
      </x:c>
      <x:c r="C19" s="7">
        <x:v>0</x:v>
      </x:c>
      <x:c r="D19" s="7">
        <x:v>10.6742489046828</x:v>
      </x:c>
      <x:c r="E19" s="7">
        <x:v>4.7308147368529167E-2</x:v>
      </x:c>
      <x:c r="F19" s="7">
        <x:v>0.33679082179232728</x:v>
      </x:c>
      <x:c r="G19" s="7">
        <x:v>0.25</x:v>
      </x:c>
      <x:c r="H19" s="7">
        <x:v>-0.41678763929771317</x:v>
      </x:c>
      <x:c r="I19" s="7">
        <x:v>-1.8933422631793571</x:v>
      </x:c>
      <x:c r="J19" s="7">
        <x:v>0.9733687255235195</x:v>
      </x:c>
      <x:c r="K19" s="7">
        <x:v>-3.2834986280005891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4.399999618530273"/>
  <x:cols>
    <x:col min="1" max="1" width="13" customWidth="1"/>
    <x:col min="2" max="2" width="10" customWidth="1"/>
    <x:col min="3" max="3" width="22" customWidth="1"/>
    <x:col min="4" max="4" width="19" customWidth="1"/>
    <x:col min="5" max="5" width="21" customWidth="1"/>
    <x:col min="6" max="7" width="20" customWidth="1"/>
    <x:col min="8" max="8" width="21" customWidth="1"/>
    <x:col min="9" max="11" width="22" customWidth="1"/>
    <x:col min="12" max="12" width="10" customWidth="1"/>
  </x:cols>
  <x:sheetData>
    <x:row r="1">
      <x:c r="A1" s="5" t="s">
        <x:v>74</x:v>
      </x:c>
      <x:c r="B1" s="5" t="s">
        <x:v>182</x:v>
      </x:c>
      <x:c r="C1" s="5" t="s">
        <x:v>183</x:v>
      </x:c>
      <x:c r="D1" s="5" t="s">
        <x:v>184</x:v>
      </x:c>
      <x:c r="E1" s="5" t="s">
        <x:v>185</x:v>
      </x:c>
      <x:c r="F1" s="5" t="s">
        <x:v>186</x:v>
      </x:c>
      <x:c r="G1" s="5" t="s">
        <x:v>187</x:v>
      </x:c>
      <x:c r="H1" s="5" t="s">
        <x:v>188</x:v>
      </x:c>
      <x:c r="I1" s="5" t="s">
        <x:v>189</x:v>
      </x:c>
      <x:c r="J1" s="5" t="s">
        <x:v>190</x:v>
      </x:c>
      <x:c r="K1" s="5" t="s">
        <x:v>191</x:v>
      </x:c>
      <x:c r="L1" s="5" t="s">
        <x:v>192</x:v>
      </x:c>
    </x:row>
    <x:row r="2">
      <x:c r="A2" s="2" t="s">
        <x:v>119</x:v>
      </x:c>
      <x:c r="B2" s="6">
        <x:v>14</x:v>
      </x:c>
      <x:c r="C2" s="7">
        <x:v>0.36029411764705882</x:v>
      </x:c>
      <x:c r="D2" s="7">
        <x:v>16.85398546030298</x:v>
      </x:c>
      <x:c r="E2" s="7">
        <x:v>5.1193961003104659E-2</x:v>
      </x:c>
      <x:c r="F2" s="7">
        <x:v>0.21351412720280549</x:v>
      </x:c>
      <x:c r="G2" s="7">
        <x:v>-2.285714285714286</x:v>
      </x:c>
      <x:c r="H2" s="7">
        <x:v>3.1178921478232779</x:v>
      </x:c>
      <x:c r="I2" s="7">
        <x:v>5.4099058991466202E-4</x:v>
      </x:c>
      <x:c r="J2" s="7">
        <x:v>-0.79764326718640799</x:v>
      </x:c>
      <x:c r="K2" s="7">
        <x:v>3.9160764055996</x:v>
      </x:c>
      <x:c r="L2" s="6">
        <x:v>1</x:v>
      </x:c>
    </x:row>
    <x:row r="3">
      <x:c r="A3" s="2" t="s">
        <x:v>113</x:v>
      </x:c>
      <x:c r="B3" s="6">
        <x:v>13</x:v>
      </x:c>
      <x:c r="C3" s="7">
        <x:v>0.27205882352941169</x:v>
      </x:c>
      <x:c r="D3" s="7">
        <x:v>16.09677310364523</x:v>
      </x:c>
      <x:c r="E3" s="7">
        <x:v>5.0229669807408728E-2</x:v>
      </x:c>
      <x:c r="F3" s="7">
        <x:v>0.12717781793334351</x:v>
      </x:c>
      <x:c r="G3" s="7">
        <x:v>-3.4615384615384621</x:v>
      </x:c>
      <x:c r="H3" s="7">
        <x:v>2.252256281589565</x:v>
      </x:c>
      <x:c r="I3" s="7">
        <x:v>-0.46943907511264038</x:v>
      </x:c>
      <x:c r="J3" s="7">
        <x:v>-2.0379639914859609</x:v>
      </x:c>
      <x:c r="K3" s="7">
        <x:v>3.8207811979628858</x:v>
      </x:c>
      <x:c r="L3" s="6">
        <x:v>2</x:v>
      </x:c>
    </x:row>
    <x:row r="4">
      <x:c r="A4" s="2" t="s">
        <x:v>116</x:v>
      </x:c>
      <x:c r="B4" s="6">
        <x:v>14</x:v>
      </x:c>
      <x:c r="C4" s="7">
        <x:v>0.125</x:v>
      </x:c>
      <x:c r="D4" s="7">
        <x:v>16.839773188157331</x:v>
      </x:c>
      <x:c r="E4" s="7">
        <x:v>5.0458247675237801E-2</x:v>
      </x:c>
      <x:c r="F4" s="7">
        <x:v>0.13965327344550221</x:v>
      </x:c>
      <x:c r="G4" s="7">
        <x:v>-3.4285714285714279</x:v>
      </x:c>
      <x:c r="H4" s="7">
        <x:v>0.80952983786671229</x:v>
      </x:c>
      <x:c r="I4" s="7">
        <x:v>-0.35803388773775469</x:v>
      </x:c>
      <x:c r="J4" s="7">
        <x:v>-1.8587396749992171</x:v>
      </x:c>
      <x:c r="K4" s="7">
        <x:v>2.3102356251281742</x:v>
      </x:c>
      <x:c r="L4" s="6">
        <x:v>3</x:v>
      </x:c>
    </x:row>
    <x:row r="5">
      <x:c r="A5" s="2" t="s">
        <x:v>122</x:v>
      </x:c>
      <x:c r="B5" s="6">
        <x:v>4</x:v>
      </x:c>
      <x:c r="C5" s="7">
        <x:v>0</x:v>
      </x:c>
      <x:c r="D5" s="7">
        <x:v>11.040202120654889</x:v>
      </x:c>
      <x:c r="E5" s="7">
        <x:v>5.1876142418784701E-2</x:v>
      </x:c>
      <x:c r="F5" s="7">
        <x:v>0.18322520590273811</x:v>
      </x:c>
      <x:c r="G5" s="7">
        <x:v>-4.25</x:v>
      </x:c>
      <x:c r="H5" s="7">
        <x:v>-0.41678763929771317</x:v>
      </x:c>
      <x:c r="I5" s="7">
        <x:v>0.33302527333915483</x:v>
      </x:c>
      <x:c r="J5" s="7">
        <x:v>-1.232778578424921</x:v>
      </x:c>
      <x:c r="K5" s="7">
        <x:v>1.1490162124663621</x:v>
      </x:c>
      <x:c r="L5" s="6">
        <x:v>4</x:v>
      </x:c>
    </x:row>
    <x:row r="6">
      <x:c r="A6" s="2" t="s">
        <x:v>101</x:v>
      </x:c>
      <x:c r="B6" s="6">
        <x:v>6</x:v>
      </x:c>
      <x:c r="C6" s="7">
        <x:v>0</x:v>
      </x:c>
      <x:c r="D6" s="7">
        <x:v>11.8340977996418</x:v>
      </x:c>
      <x:c r="E6" s="7">
        <x:v>5.2598483173689883E-2</x:v>
      </x:c>
      <x:c r="F6" s="7">
        <x:v>0.20850093658837521</x:v>
      </x:c>
      <x:c r="G6" s="7">
        <x:v>-2.166666666666667</x:v>
      </x:c>
      <x:c r="H6" s="7">
        <x:v>-0.41678763929771317</x:v>
      </x:c>
      <x:c r="I6" s="7">
        <x:v>0.68508257404380335</x:v>
      </x:c>
      <x:c r="J6" s="7">
        <x:v>-0.86966353613878156</x:v>
      </x:c>
      <x:c r="K6" s="7">
        <x:v>1.137958470884872</x:v>
      </x:c>
      <x:c r="L6" s="6">
        <x:v>5</x:v>
      </x:c>
    </x:row>
    <x:row r="7">
      <x:c r="A7" s="2" t="s">
        <x:v>83</x:v>
      </x:c>
      <x:c r="B7" s="6">
        <x:v>6</x:v>
      </x:c>
      <x:c r="C7" s="7">
        <x:v>0</x:v>
      </x:c>
      <x:c r="D7" s="7">
        <x:v>11.70171592976792</x:v>
      </x:c>
      <x:c r="E7" s="7">
        <x:v>5.3474342893710919E-2</x:v>
      </x:c>
      <x:c r="F7" s="7">
        <x:v>0.26671181734692279</x:v>
      </x:c>
      <x:c r="G7" s="7">
        <x:v>-1.5</x:v>
      </x:c>
      <x:c r="H7" s="7">
        <x:v>-0.41678763929771317</x:v>
      </x:c>
      <x:c r="I7" s="7">
        <x:v>1.111962556562603</x:v>
      </x:c>
      <x:c r="J7" s="7">
        <x:v>-3.3397052251745871E-2</x:v>
      </x:c>
      <x:c r="K7" s="7">
        <x:v>0.72857196951663517</x:v>
      </x:c>
      <x:c r="L7" s="6">
        <x:v>6</x:v>
      </x:c>
    </x:row>
    <x:row r="8">
      <x:c r="A8" s="2" t="s">
        <x:v>86</x:v>
      </x:c>
      <x:c r="B8" s="6">
        <x:v>4</x:v>
      </x:c>
      <x:c r="C8" s="7">
        <x:v>0</x:v>
      </x:c>
      <x:c r="D8" s="7">
        <x:v>10.904499663248069</x:v>
      </x:c>
      <x:c r="E8" s="7">
        <x:v>5.2861885287736499E-2</x:v>
      </x:c>
      <x:c r="F8" s="7">
        <x:v>0.26202808061976529</x:v>
      </x:c>
      <x:c r="G8" s="7">
        <x:v>-4</x:v>
      </x:c>
      <x:c r="H8" s="7">
        <x:v>-0.41678763929771317</x:v>
      </x:c>
      <x:c r="I8" s="7">
        <x:v>0.81346054059412654</x:v>
      </x:c>
      <x:c r="J8" s="7">
        <x:v>-0.1006843358872435</x:v>
      </x:c>
      <x:c r="K8" s="7">
        <x:v>0.49735723718365688</x:v>
      </x:c>
      <x:c r="L8" s="6">
        <x:v>7</x:v>
      </x:c>
    </x:row>
    <x:row r="9">
      <x:c r="A9" s="2" t="s">
        <x:v>92</x:v>
      </x:c>
      <x:c r="B9" s="6">
        <x:v>4</x:v>
      </x:c>
      <x:c r="C9" s="7">
        <x:v>0</x:v>
      </x:c>
      <x:c r="D9" s="7">
        <x:v>11.032242855539209</x:v>
      </x:c>
      <x:c r="E9" s="7">
        <x:v>5.1714773850720562E-2</x:v>
      </x:c>
      <x:c r="F9" s="7">
        <x:v>0.24569435280864349</x:v>
      </x:c>
      <x:c r="G9" s="7">
        <x:v>-4</x:v>
      </x:c>
      <x:c r="H9" s="7">
        <x:v>-0.41678763929771317</x:v>
      </x:c>
      <x:c r="I9" s="7">
        <x:v>0.25437682092185271</x:v>
      </x:c>
      <x:c r="J9" s="7">
        <x:v>-0.33533718682128499</x:v>
      </x:c>
      <x:c r="K9" s="7">
        <x:v>0.1729263684454245</x:v>
      </x:c>
      <x:c r="L9" s="6">
        <x:v>8</x:v>
      </x:c>
    </x:row>
    <x:row r="10">
      <x:c r="A10" s="2" t="s">
        <x:v>128</x:v>
      </x:c>
      <x:c r="B10" s="6">
        <x:v>4</x:v>
      </x:c>
      <x:c r="C10" s="7">
        <x:v>0</x:v>
      </x:c>
      <x:c r="D10" s="7">
        <x:v>9.8968646639481079</x:v>
      </x:c>
      <x:c r="E10" s="7">
        <x:v>5.4026727159259783E-2</x:v>
      </x:c>
      <x:c r="F10" s="7">
        <x:v>0.32687138204305538</x:v>
      </x:c>
      <x:c r="G10" s="7">
        <x:v>-0.5</x:v>
      </x:c>
      <x:c r="H10" s="7">
        <x:v>-0.41678763929771317</x:v>
      </x:c>
      <x:c r="I10" s="7">
        <x:v>1.381185789725432</x:v>
      </x:c>
      <x:c r="J10" s="7">
        <x:v>0.83086452539535283</x:v>
      </x:c>
      <x:c r="K10" s="7">
        <x:v>0.13353362503236621</x:v>
      </x:c>
      <x:c r="L10" s="6">
        <x:v>9</x:v>
      </x:c>
    </x:row>
    <x:row r="11">
      <x:c r="A11" s="2" t="s">
        <x:v>131</x:v>
      </x:c>
      <x:c r="B11" s="6">
        <x:v>4</x:v>
      </x:c>
      <x:c r="C11" s="7">
        <x:v>0</x:v>
      </x:c>
      <x:c r="D11" s="7">
        <x:v>9.8940109335286515</x:v>
      </x:c>
      <x:c r="E11" s="7">
        <x:v>5.3978738167557418E-2</x:v>
      </x:c>
      <x:c r="F11" s="7">
        <x:v>0.32797354198911077</x:v>
      </x:c>
      <x:c r="G11" s="7">
        <x:v>-0.5</x:v>
      </x:c>
      <x:c r="H11" s="7">
        <x:v>-0.41678763929771317</x:v>
      </x:c>
      <x:c r="I11" s="7">
        <x:v>1.357796724706547</x:v>
      </x:c>
      <x:c r="J11" s="7">
        <x:v>0.84669832503483833</x:v>
      </x:c>
      <x:c r="K11" s="7">
        <x:v>9.4310760373995883E-2</x:v>
      </x:c>
      <x:c r="L11" s="6">
        <x:v>10</x:v>
      </x:c>
    </x:row>
    <x:row r="12">
      <x:c r="A12" s="2" t="s">
        <x:v>80</x:v>
      </x:c>
      <x:c r="B12" s="6">
        <x:v>5</x:v>
      </x:c>
      <x:c r="C12" s="7">
        <x:v>0</x:v>
      </x:c>
      <x:c r="D12" s="7">
        <x:v>11.304325194730581</x:v>
      </x:c>
      <x:c r="E12" s="7">
        <x:v>5.2687385201192517E-2</x:v>
      </x:c>
      <x:c r="F12" s="7">
        <x:v>0.29759597555839318</x:v>
      </x:c>
      <x:c r="G12" s="7">
        <x:v>-1</x:v>
      </x:c>
      <x:c r="H12" s="7">
        <x:v>-0.41678763929771317</x:v>
      </x:c>
      <x:c r="I12" s="7">
        <x:v>0.72841199664278</x:v>
      </x:c>
      <x:c r="J12" s="7">
        <x:v>0.4102895241882577</x:v>
      </x:c>
      <x:c r="K12" s="7">
        <x:v>-9.8665166843190877E-2</x:v>
      </x:c>
      <x:c r="L12" s="6">
        <x:v>11</x:v>
      </x:c>
    </x:row>
    <x:row r="13">
      <x:c r="A13" s="2" t="s">
        <x:v>95</x:v>
      </x:c>
      <x:c r="B13" s="6">
        <x:v>4</x:v>
      </x:c>
      <x:c r="C13" s="7">
        <x:v>0</x:v>
      </x:c>
      <x:c r="D13" s="7">
        <x:v>11.099046693141119</x:v>
      </x:c>
      <x:c r="E13" s="7">
        <x:v>5.1158707564479468E-2</x:v>
      </x:c>
      <x:c r="F13" s="7">
        <x:v>0.28367635069101282</x:v>
      </x:c>
      <x:c r="G13" s="7">
        <x:v>-2.75</x:v>
      </x:c>
      <x:c r="H13" s="7">
        <x:v>-0.41678763929771317</x:v>
      </x:c>
      <x:c r="I13" s="7">
        <x:v>-1.6640970082605431E-2</x:v>
      </x:c>
      <x:c r="J13" s="7">
        <x:v>0.21031804818269259</x:v>
      </x:c>
      <x:c r="K13" s="7">
        <x:v>-0.6437466575630113</x:v>
      </x:c>
      <x:c r="L13" s="6">
        <x:v>12</x:v>
      </x:c>
    </x:row>
    <x:row r="14">
      <x:c r="A14" s="2" t="s">
        <x:v>98</x:v>
      </x:c>
      <x:c r="B14" s="6">
        <x:v>6</x:v>
      </x:c>
      <x:c r="C14" s="7">
        <x:v>7.3529411764705881E-3</x:v>
      </x:c>
      <x:c r="D14" s="7">
        <x:v>11.80719535504389</x:v>
      </x:c>
      <x:c r="E14" s="7">
        <x:v>5.2657705120739001E-2</x:v>
      </x:c>
      <x:c r="F14" s="7">
        <x:v>0.36164774018480522</x:v>
      </x:c>
      <x:c r="G14" s="7">
        <x:v>0</x:v>
      </x:c>
      <x:c r="H14" s="7">
        <x:v>-0.34465131711157049</x:v>
      </x:c>
      <x:c r="I14" s="7">
        <x:v>0.71394640137045817</x:v>
      </x:c>
      <x:c r="J14" s="7">
        <x:v>1.3304670458627481</x:v>
      </x:c>
      <x:c r="K14" s="7">
        <x:v>-0.96117196160386043</x:v>
      </x:c>
      <x:c r="L14" s="6">
        <x:v>13</x:v>
      </x:c>
    </x:row>
    <x:row r="15">
      <x:c r="A15" s="2" t="s">
        <x:v>125</x:v>
      </x:c>
      <x:c r="B15" s="6">
        <x:v>4</x:v>
      </x:c>
      <x:c r="C15" s="7">
        <x:v>0</x:v>
      </x:c>
      <x:c r="D15" s="7">
        <x:v>11.353508242432691</x:v>
      </x:c>
      <x:c r="E15" s="7">
        <x:v>4.8900903272167402E-2</x:v>
      </x:c>
      <x:c r="F15" s="7">
        <x:v>0.2515116581047952</x:v>
      </x:c>
      <x:c r="G15" s="7">
        <x:v>-2.75</x:v>
      </x:c>
      <x:c r="H15" s="7">
        <x:v>-0.41678763929771317</x:v>
      </x:c>
      <x:c r="I15" s="7">
        <x:v>-1.1170585766941901</x:v>
      </x:c>
      <x:c r="J15" s="7">
        <x:v>-0.2517648824287621</x:v>
      </x:c>
      <x:c r="K15" s="7">
        <x:v>-1.2820813335631409</x:v>
      </x:c>
      <x:c r="L15" s="6">
        <x:v>14</x:v>
      </x:c>
    </x:row>
    <x:row r="16">
      <x:c r="A16" s="2" t="s">
        <x:v>89</x:v>
      </x:c>
      <x:c r="B16" s="6">
        <x:v>6</x:v>
      </x:c>
      <x:c r="C16" s="7">
        <x:v>0</x:v>
      </x:c>
      <x:c r="D16" s="7">
        <x:v>11.95877481067051</x:v>
      </x:c>
      <x:c r="E16" s="7">
        <x:v>5.0717674593146571E-2</x:v>
      </x:c>
      <x:c r="F16" s="7">
        <x:v>0.31735621121669649</x:v>
      </x:c>
      <x:c r="G16" s="7">
        <x:v>0</x:v>
      </x:c>
      <x:c r="H16" s="7">
        <x:v>-0.41678763929771317</x:v>
      </x:c>
      <x:c r="I16" s="7">
        <x:v>-0.23159336803998731</x:v>
      </x:c>
      <x:c r="J16" s="7">
        <x:v>0.69416811491585217</x:v>
      </x:c>
      <x:c r="K16" s="7">
        <x:v>-1.3425491222535531</x:v>
      </x:c>
      <x:c r="L16" s="6">
        <x:v>15</x:v>
      </x:c>
    </x:row>
    <x:row r="17">
      <x:c r="A17" s="2" t="s">
        <x:v>110</x:v>
      </x:c>
      <x:c r="B17" s="6">
        <x:v>4</x:v>
      </x:c>
      <x:c r="C17" s="7">
        <x:v>0</x:v>
      </x:c>
      <x:c r="D17" s="7">
        <x:v>10.56299712301265</x:v>
      </x:c>
      <x:c r="E17" s="7">
        <x:v>4.7926966559798057E-2</x:v>
      </x:c>
      <x:c r="F17" s="7">
        <x:v>0.34982718406319863</x:v>
      </x:c>
      <x:c r="G17" s="7">
        <x:v>0.25</x:v>
      </x:c>
      <x:c r="H17" s="7">
        <x:v>-0.41678763929771317</x:v>
      </x:c>
      <x:c r="I17" s="7">
        <x:v>-1.5917397125508019</x:v>
      </x:c>
      <x:c r="J17" s="7">
        <x:v>1.160651114947568</x:v>
      </x:c>
      <x:c r="K17" s="7">
        <x:v>-3.1691784667960832</x:v>
      </x:c>
      <x:c r="L17" s="6">
        <x:v>16</x:v>
      </x:c>
    </x:row>
    <x:row r="18">
      <x:c r="A18" s="2" t="s">
        <x:v>107</x:v>
      </x:c>
      <x:c r="B18" s="6">
        <x:v>4</x:v>
      </x:c>
      <x:c r="C18" s="7">
        <x:v>0</x:v>
      </x:c>
      <x:c r="D18" s="7">
        <x:v>10.6185013014088</x:v>
      </x:c>
      <x:c r="E18" s="7">
        <x:v>4.7700857145825698E-2</x:v>
      </x:c>
      <x:c r="F18" s="7">
        <x:v>0.34290090215027308</x:v>
      </x:c>
      <x:c r="G18" s="7">
        <x:v>0.25</x:v>
      </x:c>
      <x:c r="H18" s="7">
        <x:v>-0.41678763929771317</x:v>
      </x:c>
      <x:c r="I18" s="7">
        <x:v>-1.7019418150992991</x:v>
      </x:c>
      <x:c r="J18" s="7">
        <x:v>1.061147081573496</x:v>
      </x:c>
      <x:c r="K18" s="7">
        <x:v>-3.1798765359705081</x:v>
      </x:c>
      <x:c r="L18" s="6">
        <x:v>17</x:v>
      </x:c>
    </x:row>
    <x:row r="19">
      <x:c r="A19" s="2" t="s">
        <x:v>104</x:v>
      </x:c>
      <x:c r="B19" s="6">
        <x:v>4</x:v>
      </x:c>
      <x:c r="C19" s="7">
        <x:v>0</x:v>
      </x:c>
      <x:c r="D19" s="7">
        <x:v>10.6742489046828</x:v>
      </x:c>
      <x:c r="E19" s="7">
        <x:v>4.7308147368529167E-2</x:v>
      </x:c>
      <x:c r="F19" s="7">
        <x:v>0.33679082179232728</x:v>
      </x:c>
      <x:c r="G19" s="7">
        <x:v>0.25</x:v>
      </x:c>
      <x:c r="H19" s="7">
        <x:v>-0.41678763929771317</x:v>
      </x:c>
      <x:c r="I19" s="7">
        <x:v>-1.8933422631793571</x:v>
      </x:c>
      <x:c r="J19" s="7">
        <x:v>0.9733687255235195</x:v>
      </x:c>
      <x:c r="K19" s="7">
        <x:v>-3.2834986280005891</x:v>
      </x:c>
      <x:c r="L19" s="6">
        <x:v>18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4.399999618530273"/>
  <x:cols>
    <x:col min="1" max="1" width="13" customWidth="1"/>
    <x:col min="2" max="4" width="40" customWidth="1"/>
  </x:cols>
  <x:sheetData>
    <x:row r="1">
      <x:c r="A1" s="5" t="s">
        <x:v>74</x:v>
      </x:c>
      <x:c r="B1" s="5" t="s">
        <x:v>152</x:v>
      </x:c>
      <x:c r="C1" s="5" t="s">
        <x:v>191</x:v>
      </x:c>
      <x:c r="D1" s="5" t="s">
        <x:v>192</x:v>
      </x:c>
    </x:row>
    <x:row r="2">
      <x:c r="A2" t="s">
        <x:v>119</x:v>
      </x:c>
      <x:c r="B2" t="n">
        <x:f>INDEX(Dataset_Specs!$B$2:$B$20,MATCH(A2,Dataset_Specs!$G$2:$G$20,0))</x:f>
        <x:v>165435940</x:v>
      </x:c>
      <x:c r="C2" t="n">
        <x:f>INDEX(Real_Mixture_Ranking!$K$2:$K$19,MATCH(A2,Real_Mixture_Ranking!$A$2:$A$19,0))</x:f>
        <x:v>3.9160764055996</x:v>
      </x:c>
      <x:c r="D2" t="n">
        <x:f>INDEX(Real_Mixture_Ranking!$L$2:$L$19,MATCH(A2,Real_Mixture_Ranking!$A$2:$A$19,0))</x:f>
        <x:v>1</x:v>
      </x:c>
    </x:row>
    <x:row r="3">
      <x:c r="A3" t="s">
        <x:v>113</x:v>
      </x:c>
      <x:c r="B3" t="n">
        <x:f>INDEX(Dataset_Specs!$B$2:$B$20,MATCH(A3,Dataset_Specs!$G$2:$G$20,0))</x:f>
        <x:v>227532785</x:v>
      </x:c>
      <x:c r="C3" t="n">
        <x:f>INDEX(Real_Mixture_Ranking!$K$2:$K$19,MATCH(A3,Real_Mixture_Ranking!$A$2:$A$19,0))</x:f>
        <x:v>3.820781197962886</x:v>
      </x:c>
      <x:c r="D3" t="n">
        <x:f>INDEX(Real_Mixture_Ranking!$L$2:$L$19,MATCH(A3,Real_Mixture_Ranking!$A$2:$A$19,0))</x:f>
        <x:v>2</x:v>
      </x:c>
    </x:row>
    <x:row r="4">
      <x:c r="A4" t="s">
        <x:v>116</x:v>
      </x:c>
      <x:c r="B4" t="n">
        <x:f>INDEX(Dataset_Specs!$B$2:$B$20,MATCH(A4,Dataset_Specs!$G$2:$G$20,0))</x:f>
        <x:v>222230133</x:v>
      </x:c>
      <x:c r="C4" t="n">
        <x:f>INDEX(Real_Mixture_Ranking!$K$2:$K$19,MATCH(A4,Real_Mixture_Ranking!$A$2:$A$19,0))</x:f>
        <x:v>2.310235625128174</x:v>
      </x:c>
      <x:c r="D4" t="n">
        <x:f>INDEX(Real_Mixture_Ranking!$L$2:$L$19,MATCH(A4,Real_Mixture_Ranking!$A$2:$A$19,0))</x:f>
        <x:v>3</x:v>
      </x:c>
    </x:row>
    <x:row r="5">
      <x:c r="A5" t="s">
        <x:v>122</x:v>
      </x:c>
      <x:c r="B5" t="n">
        <x:f>INDEX(Dataset_Specs!$B$2:$B$20,MATCH(A5,Dataset_Specs!$G$2:$G$20,0))</x:f>
        <x:v>198627298</x:v>
      </x:c>
      <x:c r="C5" t="n">
        <x:f>INDEX(Real_Mixture_Ranking!$K$2:$K$19,MATCH(A5,Real_Mixture_Ranking!$A$2:$A$19,0))</x:f>
        <x:v>1.149016212466362</x:v>
      </x:c>
      <x:c r="D5" t="n">
        <x:f>INDEX(Real_Mixture_Ranking!$L$2:$L$19,MATCH(A5,Real_Mixture_Ranking!$A$2:$A$19,0))</x:f>
        <x:v>4</x:v>
      </x:c>
    </x:row>
    <x:row r="6">
      <x:c r="A6" t="s">
        <x:v>101</x:v>
      </x:c>
      <x:c r="B6" t="n">
        <x:f>INDEX(Dataset_Specs!$B$2:$B$20,MATCH(A6,Dataset_Specs!$G$2:$G$20,0))</x:f>
        <x:v>239185900</x:v>
      </x:c>
      <x:c r="C6" t="n">
        <x:f>INDEX(Real_Mixture_Ranking!$K$2:$K$19,MATCH(A6,Real_Mixture_Ranking!$A$2:$A$19,0))</x:f>
        <x:v>1.137958470884872</x:v>
      </x:c>
      <x:c r="D6" t="n">
        <x:f>INDEX(Real_Mixture_Ranking!$L$2:$L$19,MATCH(A6,Real_Mixture_Ranking!$A$2:$A$19,0))</x:f>
        <x:v>5</x:v>
      </x:c>
    </x:row>
    <x:row r="7">
      <x:c r="A7" t="s">
        <x:v>83</x:v>
      </x:c>
      <x:c r="B7" t="n">
        <x:f>INDEX(Dataset_Specs!$B$2:$B$20,MATCH(A7,Dataset_Specs!$G$2:$G$20,0))</x:f>
        <x:v>213915505</x:v>
      </x:c>
      <x:c r="C7" t="n">
        <x:f>INDEX(Real_Mixture_Ranking!$K$2:$K$19,MATCH(A7,Real_Mixture_Ranking!$A$2:$A$19,0))</x:f>
        <x:v>0.7285719695166352</x:v>
      </x:c>
      <x:c r="D7" t="n">
        <x:f>INDEX(Real_Mixture_Ranking!$L$2:$L$19,MATCH(A7,Real_Mixture_Ranking!$A$2:$A$19,0))</x:f>
        <x:v>6</x:v>
      </x:c>
    </x:row>
    <x:row r="8">
      <x:c r="A8" t="s">
        <x:v>86</x:v>
      </x:c>
      <x:c r="B8" t="n">
        <x:f>INDEX(Dataset_Specs!$B$2:$B$20,MATCH(A8,Dataset_Specs!$G$2:$G$20,0))</x:f>
        <x:v>216474833</x:v>
      </x:c>
      <x:c r="C8" t="n">
        <x:f>INDEX(Real_Mixture_Ranking!$K$2:$K$19,MATCH(A8,Real_Mixture_Ranking!$A$2:$A$19,0))</x:f>
        <x:v>0.4973572371836569</x:v>
      </x:c>
      <x:c r="D8" t="n">
        <x:f>INDEX(Real_Mixture_Ranking!$L$2:$L$19,MATCH(A8,Real_Mixture_Ranking!$A$2:$A$19,0))</x:f>
        <x:v>7</x:v>
      </x:c>
    </x:row>
    <x:row r="9">
      <x:c r="A9" t="s">
        <x:v>92</x:v>
      </x:c>
      <x:c r="B9" t="n">
        <x:f>INDEX(Dataset_Specs!$B$2:$B$20,MATCH(A9,Dataset_Specs!$G$2:$G$20,0))</x:f>
        <x:v>201746971</x:v>
      </x:c>
      <x:c r="C9" t="n">
        <x:f>INDEX(Real_Mixture_Ranking!$K$2:$K$19,MATCH(A9,Real_Mixture_Ranking!$A$2:$A$19,0))</x:f>
        <x:v>0.1729263684454245</x:v>
      </x:c>
      <x:c r="D9" t="n">
        <x:f>INDEX(Real_Mixture_Ranking!$L$2:$L$19,MATCH(A9,Real_Mixture_Ranking!$A$2:$A$19,0))</x:f>
        <x:v>8</x:v>
      </x:c>
    </x:row>
    <x:row r="10">
      <x:c r="A10" t="s">
        <x:v>128</x:v>
      </x:c>
      <x:c r="B10" t="n">
        <x:f>INDEX(Dataset_Specs!$B$2:$B$20,MATCH(A10,Dataset_Specs!$G$2:$G$20,0))</x:f>
        <x:v>124203133</x:v>
      </x:c>
      <x:c r="C10" t="n">
        <x:f>INDEX(Real_Mixture_Ranking!$K$2:$K$19,MATCH(A10,Real_Mixture_Ranking!$A$2:$A$19,0))</x:f>
        <x:v>0.1335336250323662</x:v>
      </x:c>
      <x:c r="D10" t="n">
        <x:f>INDEX(Real_Mixture_Ranking!$L$2:$L$19,MATCH(A10,Real_Mixture_Ranking!$A$2:$A$19,0))</x:f>
        <x:v>9</x:v>
      </x:c>
    </x:row>
    <x:row r="11">
      <x:c r="A11" t="s">
        <x:v>131</x:v>
      </x:c>
      <x:c r="B11" t="n">
        <x:f>INDEX(Dataset_Specs!$B$2:$B$20,MATCH(A11,Dataset_Specs!$G$2:$G$20,0))</x:f>
        <x:v>240914448</x:v>
      </x:c>
      <x:c r="C11" t="n">
        <x:f>INDEX(Real_Mixture_Ranking!$K$2:$K$19,MATCH(A11,Real_Mixture_Ranking!$A$2:$A$19,0))</x:f>
        <x:v>0.09431076037399588</x:v>
      </x:c>
      <x:c r="D11" t="n">
        <x:f>INDEX(Real_Mixture_Ranking!$L$2:$L$19,MATCH(A11,Real_Mixture_Ranking!$A$2:$A$19,0))</x:f>
        <x:v>10</x:v>
      </x:c>
    </x:row>
    <x:row r="12">
      <x:c r="A12" t="s">
        <x:v>80</x:v>
      </x:c>
      <x:c r="B12" t="n">
        <x:f>INDEX(Dataset_Specs!$B$2:$B$20,MATCH(A12,Dataset_Specs!$G$2:$G$20,0))</x:f>
        <x:v>208675123</x:v>
      </x:c>
      <x:c r="C12" t="n">
        <x:f>INDEX(Real_Mixture_Ranking!$K$2:$K$19,MATCH(A12,Real_Mixture_Ranking!$A$2:$A$19,0))</x:f>
        <x:v>-0.09866516684319088</x:v>
      </x:c>
      <x:c r="D12" t="n">
        <x:f>INDEX(Real_Mixture_Ranking!$L$2:$L$19,MATCH(A12,Real_Mixture_Ranking!$A$2:$A$19,0))</x:f>
        <x:v>11</x:v>
      </x:c>
    </x:row>
    <x:row r="13">
      <x:c r="A13" t="s">
        <x:v>95</x:v>
      </x:c>
      <x:c r="B13" t="n">
        <x:f>INDEX(Dataset_Specs!$B$2:$B$20,MATCH(A13,Dataset_Specs!$G$2:$G$20,0))</x:f>
        <x:v>233694815</x:v>
      </x:c>
      <x:c r="C13" t="n">
        <x:f>INDEX(Real_Mixture_Ranking!$K$2:$K$19,MATCH(A13,Real_Mixture_Ranking!$A$2:$A$19,0))</x:f>
        <x:v>-0.6437466575630113</x:v>
      </x:c>
      <x:c r="D13" t="n">
        <x:f>INDEX(Real_Mixture_Ranking!$L$2:$L$19,MATCH(A13,Real_Mixture_Ranking!$A$2:$A$19,0))</x:f>
        <x:v>12</x:v>
      </x:c>
    </x:row>
    <x:row r="14">
      <x:c r="A14" t="s">
        <x:v>98</x:v>
      </x:c>
      <x:c r="B14" t="n">
        <x:f>INDEX(Dataset_Specs!$B$2:$B$20,MATCH(A14,Dataset_Specs!$G$2:$G$20,0))</x:f>
        <x:v>225510139</x:v>
      </x:c>
      <x:c r="C14" t="n">
        <x:f>INDEX(Real_Mixture_Ranking!$K$2:$K$19,MATCH(A14,Real_Mixture_Ranking!$A$2:$A$19,0))</x:f>
        <x:v>-0.9611719616038604</x:v>
      </x:c>
      <x:c r="D14" t="n">
        <x:f>INDEX(Real_Mixture_Ranking!$L$2:$L$19,MATCH(A14,Real_Mixture_Ranking!$A$2:$A$19,0))</x:f>
        <x:v>13</x:v>
      </x:c>
    </x:row>
    <x:row r="15">
      <x:c r="A15" t="s">
        <x:v>125</x:v>
      </x:c>
      <x:c r="B15" t="n">
        <x:f>INDEX(Dataset_Specs!$B$2:$B$20,MATCH(A15,Dataset_Specs!$G$2:$G$20,0))</x:f>
        <x:v>204429153</x:v>
      </x:c>
      <x:c r="C15" t="n">
        <x:f>INDEX(Real_Mixture_Ranking!$K$2:$K$19,MATCH(A15,Real_Mixture_Ranking!$A$2:$A$19,0))</x:f>
        <x:v>-1.282081333563141</x:v>
      </x:c>
      <x:c r="D15" t="n">
        <x:f>INDEX(Real_Mixture_Ranking!$L$2:$L$19,MATCH(A15,Real_Mixture_Ranking!$A$2:$A$19,0))</x:f>
        <x:v>14</x:v>
      </x:c>
    </x:row>
    <x:row r="16">
      <x:c r="A16" t="s">
        <x:v>89</x:v>
      </x:c>
      <x:c r="B16" t="n">
        <x:f>INDEX(Dataset_Specs!$B$2:$B$20,MATCH(A16,Dataset_Specs!$G$2:$G$20,0))</x:f>
        <x:v>209827146</x:v>
      </x:c>
      <x:c r="C16" t="n">
        <x:f>INDEX(Real_Mixture_Ranking!$K$2:$K$19,MATCH(A16,Real_Mixture_Ranking!$A$2:$A$19,0))</x:f>
        <x:v>-1.342549122253553</x:v>
      </x:c>
      <x:c r="D16" t="n">
        <x:f>INDEX(Real_Mixture_Ranking!$L$2:$L$19,MATCH(A16,Real_Mixture_Ranking!$A$2:$A$19,0))</x:f>
        <x:v>15</x:v>
      </x:c>
    </x:row>
    <x:row r="17">
      <x:c r="A17" t="s">
        <x:v>110</x:v>
      </x:c>
      <x:c r="B17" t="n">
        <x:f>INDEX(Dataset_Specs!$B$2:$B$20,MATCH(A17,Dataset_Specs!$G$2:$G$20,0))</x:f>
        <x:v>112093812</x:v>
      </x:c>
      <x:c r="C17" t="n">
        <x:f>INDEX(Real_Mixture_Ranking!$K$2:$K$19,MATCH(A17,Real_Mixture_Ranking!$A$2:$A$19,0))</x:f>
        <x:v>-3.169178466796083</x:v>
      </x:c>
      <x:c r="D17" t="n">
        <x:f>INDEX(Real_Mixture_Ranking!$L$2:$L$19,MATCH(A17,Real_Mixture_Ranking!$A$2:$A$19,0))</x:f>
        <x:v>16</x:v>
      </x:c>
    </x:row>
    <x:row r="18">
      <x:c r="A18" t="s">
        <x:v>107</x:v>
      </x:c>
      <x:c r="B18" t="n">
        <x:f>INDEX(Dataset_Specs!$B$2:$B$20,MATCH(A18,Dataset_Specs!$G$2:$G$20,0))</x:f>
        <x:v>180682203</x:v>
      </x:c>
      <x:c r="C18" t="n">
        <x:f>INDEX(Real_Mixture_Ranking!$K$2:$K$19,MATCH(A18,Real_Mixture_Ranking!$A$2:$A$19,0))</x:f>
        <x:v>-3.179876535970508</x:v>
      </x:c>
      <x:c r="D18" t="n">
        <x:f>INDEX(Real_Mixture_Ranking!$L$2:$L$19,MATCH(A18,Real_Mixture_Ranking!$A$2:$A$19,0))</x:f>
        <x:v>17</x:v>
      </x:c>
    </x:row>
    <x:row r="19">
      <x:c r="A19" t="s">
        <x:v>104</x:v>
      </x:c>
      <x:c r="B19" t="n">
        <x:f>INDEX(Dataset_Specs!$B$2:$B$20,MATCH(A19,Dataset_Specs!$G$2:$G$20,0))</x:f>
        <x:v>166946106</x:v>
      </x:c>
      <x:c r="C19" t="n">
        <x:f>INDEX(Real_Mixture_Ranking!$K$2:$K$19,MATCH(A19,Real_Mixture_Ranking!$A$2:$A$19,0))</x:f>
        <x:v>-3.283498628000589</x:v>
      </x:c>
      <x:c r="D19" t="n">
        <x:f>INDEX(Real_Mixture_Ranking!$L$2:$L$19,MATCH(A19,Real_Mixture_Ranking!$A$2:$A$19,0))</x:f>
        <x:v>18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4.399999618530273"/>
  <x:cols>
    <x:col min="1" max="1" width="13" customWidth="1"/>
    <x:col min="2" max="4" width="22" customWidth="1"/>
  </x:cols>
  <x:sheetData>
    <x:row r="1">
      <x:c r="A1" s="5" t="s">
        <x:v>74</x:v>
      </x:c>
      <x:c r="B1" s="5" t="s">
        <x:v>193</x:v>
      </x:c>
      <x:c r="C1" s="5" t="s">
        <x:v>194</x:v>
      </x:c>
      <x:c r="D1" s="5" t="s">
        <x:v>195</x:v>
      </x:c>
    </x:row>
    <x:row r="2">
      <x:c r="A2" s="2" t="s">
        <x:v>80</x:v>
      </x:c>
      <x:c r="B2" s="7">
        <x:v>3.5385756427995893E-2</x:v>
      </x:c>
      <x:c r="C2" s="7">
        <x:v>-0.18679696294418391</x:v>
      </x:c>
      <x:c r="D2" s="7">
        <x:v>-0.1100623071303955</x:v>
      </x:c>
    </x:row>
    <x:row r="3">
      <x:c r="A3" s="2" t="s">
        <x:v>83</x:v>
      </x:c>
      <x:c r="B3" s="7">
        <x:v>-0.20594461128270469</x:v>
      </x:c>
      <x:c r="C3" s="7">
        <x:v>9.9235261739774108E-2</x:v>
      </x:c>
      <x:c r="D3" s="7">
        <x:v>2.334786732820408E-2</x:v>
      </x:c>
    </x:row>
    <x:row r="4">
      <x:c r="A4" s="2" t="s">
        <x:v>86</x:v>
      </x:c>
      <x:c r="B4" s="7">
        <x:v>2.9829349440294601E-2</x:v>
      </x:c>
      <x:c r="C4" s="7">
        <x:v>-9.8863977834138583E-2</x:v>
      </x:c>
      <x:c r="D4" s="7">
        <x:v>-7.8364122481678372E-2</x:v>
      </x:c>
    </x:row>
    <x:row r="5">
      <x:c r="A5" s="2" t="s">
        <x:v>89</x:v>
      </x:c>
      <x:c r="B5" s="7">
        <x:v>5.6639729137459717E-2</x:v>
      </x:c>
      <x:c r="C5" s="7">
        <x:v>-0.19037851700442959</x:v>
      </x:c>
      <x:c r="D5" s="7">
        <x:v>9.3997021296458788E-2</x:v>
      </x:c>
    </x:row>
    <x:row r="6">
      <x:c r="A6" s="2" t="s">
        <x:v>92</x:v>
      </x:c>
      <x:c r="B6" s="7">
        <x:v>3.0193592064698811E-2</x:v>
      </x:c>
      <x:c r="C6" s="7">
        <x:v>-0.10120440596671081</x:v>
      </x:c>
      <x:c r="D6" s="7">
        <x:v>-8.0167474883591897E-2</x:v>
      </x:c>
    </x:row>
    <x:row r="7">
      <x:c r="A7" s="2" t="s">
        <x:v>95</x:v>
      </x:c>
      <x:c r="B7" s="7">
        <x:v>3.3458162811411868E-2</x:v>
      </x:c>
      <x:c r="C7" s="7">
        <x:v>-8.819336839540029E-2</x:v>
      </x:c>
      <x:c r="D7" s="7">
        <x:v>7.9823249720575015E-2</x:v>
      </x:c>
    </x:row>
    <x:row r="8">
      <x:c r="A8" s="2" t="s">
        <x:v>98</x:v>
      </x:c>
      <x:c r="B8" s="7">
        <x:v>-0.2356263906910098</x:v>
      </x:c>
      <x:c r="C8" s="7">
        <x:v>0.1142964587793311</x:v>
      </x:c>
      <x:c r="D8" s="7">
        <x:v>-1.9441481877731211E-2</x:v>
      </x:c>
    </x:row>
    <x:row r="9">
      <x:c r="A9" s="2" t="s">
        <x:v>101</x:v>
      </x:c>
      <x:c r="B9" s="7">
        <x:v>-0.17423654504670219</x:v>
      </x:c>
      <x:c r="C9" s="7">
        <x:v>8.8913285717625301E-2</x:v>
      </x:c>
      <x:c r="D9" s="7">
        <x:v>-1.634663609884731E-2</x:v>
      </x:c>
    </x:row>
    <x:row r="10">
      <x:c r="A10" s="2" t="s">
        <x:v>104</x:v>
      </x:c>
      <x:c r="B10" s="7">
        <x:v>0.2041234940233202</x:v>
      </x:c>
      <x:c r="C10" s="7">
        <x:v>0.15996396248396769</x:v>
      </x:c>
      <x:c r="D10" s="7">
        <x:v>-1.1847719516602949E-2</x:v>
      </x:c>
    </x:row>
    <x:row r="11">
      <x:c r="A11" s="2" t="s">
        <x:v>107</x:v>
      </x:c>
      <x:c r="B11" s="7">
        <x:v>0.20288270209459591</x:v>
      </x:c>
      <x:c r="C11" s="7">
        <x:v>0.15909126414111169</x:v>
      </x:c>
      <x:c r="D11" s="7">
        <x:v>-1.1826168790706059E-2</x:v>
      </x:c>
    </x:row>
    <x:row r="12">
      <x:c r="A12" s="2" t="s">
        <x:v>110</x:v>
      </x:c>
      <x:c r="B12" s="7">
        <x:v>0.20261827764206741</x:v>
      </x:c>
      <x:c r="C12" s="7">
        <x:v>0.159210530425309</x:v>
      </x:c>
      <x:c r="D12" s="7">
        <x:v>-1.1874230136494921E-2</x:v>
      </x:c>
    </x:row>
    <x:row r="13">
      <x:c r="A13" s="2" t="s">
        <x:v>113</x:v>
      </x:c>
      <x:c r="B13" s="7">
        <x:v>0.17813574280341521</x:v>
      </x:c>
      <x:c r="C13" s="7">
        <x:v>1.14100833447313E-2</x:v>
      </x:c>
      <x:c r="D13" s="7">
        <x:v>6.7725368989494203E-2</x:v>
      </x:c>
    </x:row>
    <x:row r="14">
      <x:c r="A14" s="2" t="s">
        <x:v>116</x:v>
      </x:c>
      <x:c r="B14" s="7">
        <x:v>0.18071566438011291</x:v>
      </x:c>
      <x:c r="C14" s="7">
        <x:v>-4.8532582183921209E-2</x:v>
      </x:c>
      <x:c r="D14" s="7">
        <x:v>-2.646708115120255E-2</x:v>
      </x:c>
    </x:row>
    <x:row r="15">
      <x:c r="A15" s="2" t="s">
        <x:v>119</x:v>
      </x:c>
      <x:c r="B15" s="7">
        <x:v>-0.19078387137175401</x:v>
      </x:c>
      <x:c r="C15" s="7">
        <x:v>-0.1494151444605247</x:v>
      </x:c>
      <x:c r="D15" s="7">
        <x:v>2.146444939779316E-3</x:v>
      </x:c>
    </x:row>
    <x:row r="16">
      <x:c r="A16" s="2" t="s">
        <x:v>122</x:v>
      </x:c>
      <x:c r="B16" s="7">
        <x:v>-3.3787945613631472E-2</x:v>
      </x:c>
      <x:c r="C16" s="7">
        <x:v>6.9714752576975876E-3</x:v>
      </x:c>
      <x:c r="D16" s="7">
        <x:v>3.1233881837387741E-2</x:v>
      </x:c>
    </x:row>
    <x:row r="17">
      <x:c r="A17" s="2" t="s">
        <x:v>125</x:v>
      </x:c>
      <x:c r="B17" s="7">
        <x:v>3.5170219452848213E-2</x:v>
      </x:c>
      <x:c r="C17" s="7">
        <x:v>-9.2580674412113206E-2</x:v>
      </x:c>
      <x:c r="D17" s="7">
        <x:v>8.4167868835189494E-2</x:v>
      </x:c>
    </x:row>
    <x:row r="18">
      <x:c r="A18" s="2" t="s">
        <x:v>128</x:v>
      </x:c>
      <x:c r="B18" s="7">
        <x:v>-0.17404051433784859</x:v>
      </x:c>
      <x:c r="C18" s="7">
        <x:v>7.8206107999193974E-2</x:v>
      </x:c>
      <x:c r="D18" s="7">
        <x:v>-7.5082875998564204E-3</x:v>
      </x:c>
    </x:row>
    <x:row r="19">
      <x:c r="A19" s="2" t="s">
        <x:v>131</x:v>
      </x:c>
      <x:c r="B19" s="7">
        <x:v>-0.17473281193456949</x:v>
      </x:c>
      <x:c r="C19" s="7">
        <x:v>7.8667203312680983E-2</x:v>
      </x:c>
      <x:c r="D19" s="7">
        <x:v>-8.5361932799811902E-3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4.399999618530273"/>
  <x:cols>
    <x:col min="1" max="1" width="10" customWidth="1"/>
    <x:col min="2" max="2" width="20" customWidth="1"/>
  </x:cols>
  <x:sheetData>
    <x:row r="1">
      <x:c r="A1" s="5"/>
      <x:c r="B1" s="5" t="s">
        <x:v>196</x:v>
      </x:c>
    </x:row>
    <x:row r="2">
      <x:c r="A2" s="2" t="s">
        <x:v>197</x:v>
      </x:c>
      <x:c r="B2" s="7">
        <x:v>1.0000000000000011</x:v>
      </x:c>
    </x:row>
    <x:row r="3">
      <x:c r="A3" s="2" t="s">
        <x:v>198</x:v>
      </x:c>
      <x:c r="B3" s="7">
        <x:v>0.65080228841824206</x:v>
      </x:c>
    </x:row>
    <x:row r="4">
      <x:c r="A4" s="2" t="s">
        <x:v>199</x:v>
      </x:c>
      <x:c r="B4" s="7">
        <x:v>0.50172696734882472</x:v>
      </x:c>
    </x:row>
    <x:row r="5">
      <x:c r="A5" s="2" t="s">
        <x:v>200</x:v>
      </x:c>
      <x:c r="B5" s="7">
        <x:v>0.23448040173759291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4.399999618530273"/>
  <x:cols>
    <x:col min="1" max="2" width="13" customWidth="1"/>
    <x:col min="3" max="3" width="20" customWidth="1"/>
    <x:col min="4" max="4" width="22" customWidth="1"/>
    <x:col min="5" max="5" width="10" customWidth="1"/>
    <x:col min="6" max="6" width="11" customWidth="1"/>
  </x:cols>
  <x:sheetData>
    <x:row r="1">
      <x:c r="A1" s="5" t="s">
        <x:v>201</x:v>
      </x:c>
      <x:c r="B1" s="5" t="s">
        <x:v>202</x:v>
      </x:c>
      <x:c r="C1" s="5" t="s">
        <x:v>203</x:v>
      </x:c>
      <x:c r="D1" s="5" t="s">
        <x:v>204</x:v>
      </x:c>
      <x:c r="E1" s="5" t="s">
        <x:v>205</x:v>
      </x:c>
      <x:c r="F1" s="5" t="s">
        <x:v>206</x:v>
      </x:c>
    </x:row>
    <x:row r="2">
      <x:c r="A2" s="2" t="s">
        <x:v>98</x:v>
      </x:c>
      <x:c r="B2" s="2" t="s">
        <x:v>116</x:v>
      </x:c>
      <x:c r="C2" s="7">
        <x:v>5.2313385310379802E-2</x:v>
      </x:c>
      <x:c r="D2" s="7">
        <x:v>-0.22688025730155401</x:v>
      </x:c>
      <x:c r="E2" s="6">
        <x:v>-10</x:v>
      </x:c>
      <x:c r="F2" s="6">
        <x:v>2</x:v>
      </x:c>
    </x:row>
    <x:row r="3">
      <x:c r="A3" s="2" t="s">
        <x:v>101</x:v>
      </x:c>
      <x:c r="B3" s="2" t="s">
        <x:v>113</x:v>
      </x:c>
      <x:c r="C3" s="7">
        <x:v>5.16372783364593E-2</x:v>
      </x:c>
      <x:c r="D3" s="7">
        <x:v>-0.19172999560842879</x:v>
      </x:c>
      <x:c r="E3" s="6">
        <x:v>-9</x:v>
      </x:c>
      <x:c r="F3" s="6">
        <x:v>2</x:v>
      </x:c>
    </x:row>
    <x:row r="4">
      <x:c r="A4" s="2" t="s">
        <x:v>83</x:v>
      </x:c>
      <x:c r="B4" s="2" t="s">
        <x:v>113</x:v>
      </x:c>
      <x:c r="C4" s="7">
        <x:v>5.3434298429581799E-2</x:v>
      </x:c>
      <x:c r="D4" s="7">
        <x:v>-0.16469538968319691</x:v>
      </x:c>
      <x:c r="E4" s="6">
        <x:v>-9</x:v>
      </x:c>
      <x:c r="F4" s="6">
        <x:v>2</x:v>
      </x:c>
    </x:row>
    <x:row r="5">
      <x:c r="A5" s="2" t="s">
        <x:v>101</x:v>
      </x:c>
      <x:c r="B5" s="2" t="s">
        <x:v>116</x:v>
      </x:c>
      <x:c r="C5" s="7">
        <x:v>5.15180345817286E-2</x:v>
      </x:c>
      <x:c r="D5" s="7">
        <x:v>-0.1482545278127585</x:v>
      </x:c>
      <x:c r="E5" s="6">
        <x:v>-7</x:v>
      </x:c>
      <x:c r="F5" s="6">
        <x:v>3</x:v>
      </x:c>
    </x:row>
    <x:row r="6">
      <x:c r="A6" s="2" t="s">
        <x:v>104</x:v>
      </x:c>
      <x:c r="B6" s="2" t="s">
        <x:v>116</x:v>
      </x:c>
      <x:c r="C6" s="7">
        <x:v>4.9241610382754E-2</x:v>
      </x:c>
      <x:c r="D6" s="7">
        <x:v>-9.1662787110090571E-2</x:v>
      </x:c>
      <x:c r="E6" s="6">
        <x:v>-5</x:v>
      </x:c>
      <x:c r="F6" s="6">
        <x:v>3</x:v>
      </x:c>
    </x:row>
    <x:row r="7">
      <x:c r="A7" s="2" t="s">
        <x:v>107</x:v>
      </x:c>
      <x:c r="B7" s="2" t="s">
        <x:v>116</x:v>
      </x:c>
      <x:c r="C7" s="7">
        <x:v>4.9688749527429903E-2</x:v>
      </x:c>
      <x:c r="D7" s="7">
        <x:v>-8.0591466807853118E-2</x:v>
      </x:c>
      <x:c r="E7" s="6">
        <x:v>-5</x:v>
      </x:c>
      <x:c r="F7" s="6">
        <x:v>3</x:v>
      </x:c>
    </x:row>
    <x:row r="8">
      <x:c r="A8" s="2" t="s">
        <x:v>110</x:v>
      </x:c>
      <x:c r="B8" s="2" t="s">
        <x:v>116</x:v>
      </x:c>
      <x:c r="C8" s="7">
        <x:v>5.0429035915214401E-2</x:v>
      </x:c>
      <x:c r="D8" s="7">
        <x:v>-6.3709981087296086E-2</x:v>
      </x:c>
      <x:c r="E8" s="6">
        <x:v>-5</x:v>
      </x:c>
      <x:c r="F8" s="6">
        <x:v>3</x:v>
      </x:c>
    </x:row>
    <x:row r="9">
      <x:c r="A9" s="2" t="s">
        <x:v>104</x:v>
      </x:c>
      <x:c r="B9" s="2" t="s">
        <x:v>113</x:v>
      </x:c>
      <x:c r="C9" s="7">
        <x:v>4.9015386029157199E-2</x:v>
      </x:c>
      <x:c r="D9" s="7">
        <x:v>-6.1173925720600097E-2</x:v>
      </x:c>
      <x:c r="E9" s="6">
        <x:v>-4</x:v>
      </x:c>
      <x:c r="F9" s="6">
        <x:v>3</x:v>
      </x:c>
    </x:row>
    <x:row r="10">
      <x:c r="A10" s="2" t="s">
        <x:v>107</x:v>
      </x:c>
      <x:c r="B10" s="2" t="s">
        <x:v>113</x:v>
      </x:c>
      <x:c r="C10" s="7">
        <x:v>4.9586908910557198E-2</x:v>
      </x:c>
      <x:c r="D10" s="7">
        <x:v>-4.7804924591054572E-2</x:v>
      </x:c>
      <x:c r="E10" s="6">
        <x:v>-4</x:v>
      </x:c>
      <x:c r="F10" s="6">
        <x:v>3</x:v>
      </x:c>
    </x:row>
    <x:row r="11">
      <x:c r="A11" s="2" t="s">
        <x:v>110</x:v>
      </x:c>
      <x:c r="B11" s="2" t="s">
        <x:v>113</x:v>
      </x:c>
      <x:c r="C11" s="7">
        <x:v>5.0060560227926598E-2</x:v>
      </x:c>
      <x:c r="D11" s="7">
        <x:v>-3.6981282659909409E-2</x:v>
      </x:c>
      <x:c r="E11" s="6">
        <x:v>-4</x:v>
      </x:c>
      <x:c r="F11" s="6">
        <x:v>3</x:v>
      </x:c>
    </x:row>
    <x:row r="12">
      <x:c r="A12" s="2" t="s">
        <x:v>116</x:v>
      </x:c>
      <x:c r="B12" s="2" t="s">
        <x:v>122</x:v>
      </x:c>
      <x:c r="C12" s="7">
        <x:v>5.1544718947625398E-2</x:v>
      </x:c>
      <x:c r="D12" s="7">
        <x:v>4.3580579007673308E-2</x:v>
      </x:c>
      <x:c r="E12" s="6">
        <x:v>-8</x:v>
      </x:c>
      <x:c r="F12" s="6">
        <x:v>2</x:v>
      </x:c>
    </x:row>
    <x:row r="13">
      <x:c r="A13" s="2" t="s">
        <x:v>119</x:v>
      </x:c>
      <x:c r="B13" s="2" t="s">
        <x:v>128</x:v>
      </x:c>
      <x:c r="C13" s="7">
        <x:v>5.4126531955173203E-2</x:v>
      </x:c>
      <x:c r="D13" s="7">
        <x:v>7.9634959825519824E-2</x:v>
      </x:c>
      <x:c r="E13" s="6">
        <x:v>-5</x:v>
      </x:c>
      <x:c r="F13" s="6">
        <x:v>3</x:v>
      </x:c>
    </x:row>
    <x:row r="14">
      <x:c r="A14" s="2" t="s">
        <x:v>119</x:v>
      </x:c>
      <x:c r="B14" s="2" t="s">
        <x:v>131</x:v>
      </x:c>
      <x:c r="C14" s="7">
        <x:v>5.41838150267097E-2</x:v>
      </x:c>
      <x:c r="D14" s="7">
        <x:v>8.060796876573606E-2</x:v>
      </x:c>
      <x:c r="E14" s="6">
        <x:v>-5</x:v>
      </x:c>
      <x:c r="F14" s="6">
        <x:v>3</x:v>
      </x:c>
    </x:row>
    <x:row r="15">
      <x:c r="A15" s="2" t="s">
        <x:v>92</x:v>
      </x:c>
      <x:c r="B15" s="2" t="s">
        <x:v>113</x:v>
      </x:c>
      <x:c r="C15" s="7">
        <x:v>5.1489803057120302E-2</x:v>
      </x:c>
      <x:c r="D15" s="7">
        <x:v>0.14243376589766579</x:v>
      </x:c>
      <x:c r="E15" s="6">
        <x:v>-7</x:v>
      </x:c>
      <x:c r="F15" s="6">
        <x:v>2</x:v>
      </x:c>
    </x:row>
    <x:row r="16">
      <x:c r="A16" s="2" t="s">
        <x:v>113</x:v>
      </x:c>
      <x:c r="B16" s="2" t="s">
        <x:v>122</x:v>
      </x:c>
      <x:c r="C16" s="7">
        <x:v>5.1256032321737498E-2</x:v>
      </x:c>
      <x:c r="D16" s="7">
        <x:v>0.1425894862749576</x:v>
      </x:c>
      <x:c r="E16" s="6">
        <x:v>-4</x:v>
      </x:c>
      <x:c r="F16" s="6">
        <x:v>3</x:v>
      </x:c>
    </x:row>
    <x:row r="17">
      <x:c r="A17" s="2" t="s">
        <x:v>86</x:v>
      </x:c>
      <x:c r="B17" s="2" t="s">
        <x:v>113</x:v>
      </x:c>
      <x:c r="C17" s="7">
        <x:v>5.2311489127100597E-2</x:v>
      </x:c>
      <x:c r="D17" s="7">
        <x:v>0.15590404251195361</x:v>
      </x:c>
      <x:c r="E17" s="6">
        <x:v>-7</x:v>
      </x:c>
      <x:c r="F17" s="6">
        <x:v>2</x:v>
      </x:c>
    </x:row>
    <x:row r="18">
      <x:c r="A18" s="2" t="s">
        <x:v>119</x:v>
      </x:c>
      <x:c r="B18" s="2" t="s">
        <x:v>125</x:v>
      </x:c>
      <x:c r="C18" s="7">
        <x:v>4.8876537376699697E-2</x:v>
      </x:c>
      <x:c r="D18" s="7">
        <x:v>0.1637482378616919</x:v>
      </x:c>
      <x:c r="E18" s="6">
        <x:v>-5</x:v>
      </x:c>
      <x:c r="F18" s="6">
        <x:v>3</x:v>
      </x:c>
    </x:row>
    <x:row r="19">
      <x:c r="A19" s="2" t="s">
        <x:v>113</x:v>
      </x:c>
      <x:c r="B19" s="2" t="s">
        <x:v>125</x:v>
      </x:c>
      <x:c r="C19" s="7">
        <x:v>4.8397362988911098E-2</x:v>
      </x:c>
      <x:c r="D19" s="7">
        <x:v>0.17241001991975119</x:v>
      </x:c>
      <x:c r="E19" s="6">
        <x:v>-4</x:v>
      </x:c>
      <x:c r="F19" s="6">
        <x:v>3</x:v>
      </x:c>
    </x:row>
    <x:row r="20">
      <x:c r="A20" s="2" t="s">
        <x:v>80</x:v>
      </x:c>
      <x:c r="B20" s="2" t="s">
        <x:v>119</x:v>
      </x:c>
      <x:c r="C20" s="7">
        <x:v>5.2487178561585898E-2</x:v>
      </x:c>
      <x:c r="D20" s="7">
        <x:v>0.17835686512543211</x:v>
      </x:c>
      <x:c r="E20" s="6">
        <x:v>-3</x:v>
      </x:c>
      <x:c r="F20" s="6">
        <x:v>4</x:v>
      </x:c>
    </x:row>
    <x:row r="21">
      <x:c r="A21" s="2" t="s">
        <x:v>89</x:v>
      </x:c>
      <x:c r="B21" s="2" t="s">
        <x:v>113</x:v>
      </x:c>
      <x:c r="C21" s="7">
        <x:v>5.0025044823631501E-2</x:v>
      </x:c>
      <x:c r="D21" s="7">
        <x:v>0.17904928515199309</x:v>
      </x:c>
      <x:c r="E21" s="6">
        <x:v>-3</x:v>
      </x:c>
      <x:c r="F21" s="6">
        <x:v>4</x:v>
      </x:c>
    </x:row>
    <x:row r="22">
      <x:c r="A22" s="2" t="s">
        <x:v>98</x:v>
      </x:c>
      <x:c r="B22" s="2" t="s">
        <x:v>119</x:v>
      </x:c>
      <x:c r="C22" s="7">
        <x:v>5.1388139471376E-2</x:v>
      </x:c>
      <x:c r="D22" s="7">
        <x:v>0.18317215830056549</x:v>
      </x:c>
      <x:c r="E22" s="6">
        <x:v>-1</x:v>
      </x:c>
      <x:c r="F22" s="6">
        <x:v>5</x:v>
      </x:c>
    </x:row>
    <x:row r="23">
      <x:c r="A23" s="2" t="s">
        <x:v>116</x:v>
      </x:c>
      <x:c r="B23" s="2" t="s">
        <x:v>125</x:v>
      </x:c>
      <x:c r="C23" s="7">
        <x:v>4.9139681083146397E-2</x:v>
      </x:c>
      <x:c r="D23" s="7">
        <x:v>0.186423805598493</x:v>
      </x:c>
      <x:c r="E23" s="6">
        <x:v>-5</x:v>
      </x:c>
      <x:c r="F23" s="6">
        <x:v>3</x:v>
      </x:c>
    </x:row>
    <x:row r="24">
      <x:c r="A24" s="2" t="s">
        <x:v>95</x:v>
      </x:c>
      <x:c r="B24" s="2" t="s">
        <x:v>119</x:v>
      </x:c>
      <x:c r="C24" s="7">
        <x:v>5.0744111670577997E-2</x:v>
      </x:c>
      <x:c r="D24" s="7">
        <x:v>0.19452545008916419</x:v>
      </x:c>
      <x:c r="E24" s="6">
        <x:v>-5</x:v>
      </x:c>
      <x:c r="F24" s="6">
        <x:v>3</x:v>
      </x:c>
    </x:row>
    <x:row r="25">
      <x:c r="A25" s="2" t="s">
        <x:v>80</x:v>
      </x:c>
      <x:c r="B25" s="2" t="s">
        <x:v>116</x:v>
      </x:c>
      <x:c r="C25" s="7">
        <x:v>5.2544479308432201E-2</x:v>
      </x:c>
      <x:c r="D25" s="7">
        <x:v>0.1961208065553304</x:v>
      </x:c>
      <x:c r="E25" s="6">
        <x:v>-3</x:v>
      </x:c>
      <x:c r="F25" s="6">
        <x:v>4</x:v>
      </x:c>
    </x:row>
    <x:row r="26">
      <x:c r="A26" s="2" t="s">
        <x:v>83</x:v>
      </x:c>
      <x:c r="B26" s="2" t="s">
        <x:v>119</x:v>
      </x:c>
      <x:c r="C26" s="7">
        <x:v>5.2200317694767497E-2</x:v>
      </x:c>
      <x:c r="D26" s="7">
        <x:v>0.1964707010724249</x:v>
      </x:c>
      <x:c r="E26" s="6">
        <x:v>-1</x:v>
      </x:c>
      <x:c r="F26" s="6">
        <x:v>5</x:v>
      </x:c>
    </x:row>
    <x:row r="27">
      <x:c r="A27" s="2" t="s">
        <x:v>101</x:v>
      </x:c>
      <x:c r="B27" s="2" t="s">
        <x:v>119</x:v>
      </x:c>
      <x:c r="C27" s="7">
        <x:v>5.0837986554052098E-2</x:v>
      </x:c>
      <x:c r="D27" s="7">
        <x:v>0.1990533437390147</x:v>
      </x:c>
      <x:c r="E27" s="6">
        <x:v>-1</x:v>
      </x:c>
      <x:c r="F27" s="6">
        <x:v>5</x:v>
      </x:c>
    </x:row>
    <x:row r="28">
      <x:c r="A28" s="2" t="s">
        <x:v>92</x:v>
      </x:c>
      <x:c r="B28" s="2" t="s">
        <x:v>119</x:v>
      </x:c>
      <x:c r="C28" s="7">
        <x:v>5.16049385434489E-2</x:v>
      </x:c>
      <x:c r="D28" s="7">
        <x:v>0.2088806336157025</x:v>
      </x:c>
      <x:c r="E28" s="6">
        <x:v>-5</x:v>
      </x:c>
      <x:c r="F28" s="6">
        <x:v>3</x:v>
      </x:c>
    </x:row>
    <x:row r="29">
      <x:c r="A29" s="2" t="s">
        <x:v>95</x:v>
      </x:c>
      <x:c r="B29" s="2" t="s">
        <x:v>113</x:v>
      </x:c>
      <x:c r="C29" s="7">
        <x:v>5.0746009130141899E-2</x:v>
      </x:c>
      <x:c r="D29" s="7">
        <x:v>0.2107128548924867</x:v>
      </x:c>
      <x:c r="E29" s="6">
        <x:v>-4</x:v>
      </x:c>
      <x:c r="F29" s="6">
        <x:v>3</x:v>
      </x:c>
    </x:row>
    <x:row r="30">
      <x:c r="A30" s="2" t="s">
        <x:v>119</x:v>
      </x:c>
      <x:c r="B30" s="2" t="s">
        <x:v>122</x:v>
      </x:c>
      <x:c r="C30" s="7">
        <x:v>5.1523567430806702E-2</x:v>
      </x:c>
      <x:c r="D30" s="7">
        <x:v>0.21130935810255491</x:v>
      </x:c>
      <x:c r="E30" s="6">
        <x:v>-5</x:v>
      </x:c>
      <x:c r="F30" s="6">
        <x:v>3</x:v>
      </x:c>
    </x:row>
    <x:row r="31">
      <x:c r="A31" s="2" t="s">
        <x:v>89</x:v>
      </x:c>
      <x:c r="B31" s="2" t="s">
        <x:v>119</x:v>
      </x:c>
      <x:c r="C31" s="7">
        <x:v>5.0127403966990197E-2</x:v>
      </x:c>
      <x:c r="D31" s="7">
        <x:v>0.21221550796662841</x:v>
      </x:c>
      <x:c r="E31" s="6">
        <x:v>-1</x:v>
      </x:c>
      <x:c r="F31" s="6">
        <x:v>5</x:v>
      </x:c>
    </x:row>
    <x:row r="32">
      <x:c r="A32" s="2" t="s">
        <x:v>95</x:v>
      </x:c>
      <x:c r="B32" s="2" t="s">
        <x:v>116</x:v>
      </x:c>
      <x:c r="C32" s="7">
        <x:v>5.11060335874765E-2</x:v>
      </x:c>
      <x:c r="D32" s="7">
        <x:v>0.21772691161211991</x:v>
      </x:c>
      <x:c r="E32" s="6">
        <x:v>-5</x:v>
      </x:c>
      <x:c r="F32" s="6">
        <x:v>3</x:v>
      </x:c>
    </x:row>
    <x:row r="33">
      <x:c r="A33" s="2" t="s">
        <x:v>92</x:v>
      </x:c>
      <x:c r="B33" s="2" t="s">
        <x:v>116</x:v>
      </x:c>
      <x:c r="C33" s="7">
        <x:v>5.1462314671703799E-2</x:v>
      </x:c>
      <x:c r="D33" s="7">
        <x:v>0.22406423498871661</x:v>
      </x:c>
      <x:c r="E33" s="6">
        <x:v>-5</x:v>
      </x:c>
      <x:c r="F33" s="6">
        <x:v>3</x:v>
      </x:c>
    </x:row>
    <x:row r="34">
      <x:c r="A34" s="2" t="s">
        <x:v>89</x:v>
      </x:c>
      <x:c r="B34" s="2" t="s">
        <x:v>116</x:v>
      </x:c>
      <x:c r="C34" s="7">
        <x:v>5.0193296049490702E-2</x:v>
      </x:c>
      <x:c r="D34" s="7">
        <x:v>0.2308390960094989</x:v>
      </x:c>
      <x:c r="E34" s="6">
        <x:v>-1</x:v>
      </x:c>
      <x:c r="F34" s="6">
        <x:v>5</x:v>
      </x:c>
    </x:row>
    <x:row r="35">
      <x:c r="A35" s="2" t="s">
        <x:v>86</x:v>
      </x:c>
      <x:c r="B35" s="2" t="s">
        <x:v>119</x:v>
      </x:c>
      <x:c r="C35" s="7">
        <x:v>5.31563307296559E-2</x:v>
      </x:c>
      <x:c r="D35" s="7">
        <x:v>0.23196981954179019</x:v>
      </x:c>
      <x:c r="E35" s="6">
        <x:v>-5</x:v>
      </x:c>
      <x:c r="F35" s="6">
        <x:v>3</x:v>
      </x:c>
    </x:row>
    <x:row r="36">
      <x:c r="A36" s="2" t="s">
        <x:v>86</x:v>
      </x:c>
      <x:c r="B36" s="2" t="s">
        <x:v>116</x:v>
      </x:c>
      <x:c r="C36" s="7">
        <x:v>5.2608087497987302E-2</x:v>
      </x:c>
      <x:c r="D36" s="7">
        <x:v>0.24096365400913711</x:v>
      </x:c>
      <x:c r="E36" s="6">
        <x:v>-5</x:v>
      </x:c>
      <x:c r="F36" s="6">
        <x:v>3</x:v>
      </x:c>
    </x:row>
    <x:row r="37">
      <x:c r="A37" s="2" t="s">
        <x:v>80</x:v>
      </x:c>
      <x:c r="B37" s="2" t="s">
        <x:v>89</x:v>
      </x:c>
      <x:c r="C37" s="7">
        <x:v>5.2731595209133099E-2</x:v>
      </x:c>
      <x:c r="D37" s="7">
        <x:v>0.28682862296253359</x:v>
      </x:c>
      <x:c r="E37" s="6">
        <x:v>-1</x:v>
      </x:c>
      <x:c r="F37" s="6">
        <x:v>2</x:v>
      </x:c>
    </x:row>
    <x:row r="38">
      <x:c r="A38" s="2" t="s">
        <x:v>83</x:v>
      </x:c>
      <x:c r="B38" s="2" t="s">
        <x:v>122</x:v>
      </x:c>
      <x:c r="C38" s="7">
        <x:v>5.3180250974969201E-2</x:v>
      </x:c>
      <x:c r="D38" s="7">
        <x:v>0.33542140022576639</x:v>
      </x:c>
      <x:c r="E38" s="6">
        <x:v>0</x:v>
      </x:c>
      <x:c r="F38" s="6">
        <x:v>2</x:v>
      </x:c>
    </x:row>
    <x:row r="39">
      <x:c r="A39" s="2" t="s">
        <x:v>83</x:v>
      </x:c>
      <x:c r="B39" s="2" t="s">
        <x:v>128</x:v>
      </x:c>
      <x:c r="C39" s="7">
        <x:v>5.3656342697074401E-2</x:v>
      </x:c>
      <x:c r="D39" s="7">
        <x:v>0.3474699372598643</x:v>
      </x:c>
      <x:c r="E39" s="6">
        <x:v>0</x:v>
      </x:c>
      <x:c r="F39" s="6">
        <x:v>2</x:v>
      </x:c>
    </x:row>
    <x:row r="40">
      <x:c r="A40" s="2" t="s">
        <x:v>101</x:v>
      </x:c>
      <x:c r="B40" s="2" t="s">
        <x:v>128</x:v>
      </x:c>
      <x:c r="C40" s="7">
        <x:v>5.4019673510588499E-2</x:v>
      </x:c>
      <x:c r="D40" s="7">
        <x:v>0.35721004726270128</x:v>
      </x:c>
      <x:c r="E40" s="6">
        <x:v>0</x:v>
      </x:c>
      <x:c r="F40" s="6">
        <x:v>2</x:v>
      </x:c>
    </x:row>
    <x:row r="41">
      <x:c r="A41" s="2" t="s">
        <x:v>101</x:v>
      </x:c>
      <x:c r="B41" s="2" t="s">
        <x:v>131</x:v>
      </x:c>
      <x:c r="C41" s="7">
        <x:v>5.4686324468046797E-2</x:v>
      </x:c>
      <x:c r="D41" s="7">
        <x:v>0.36504594666909268</x:v>
      </x:c>
      <x:c r="E41" s="6">
        <x:v>0</x:v>
      </x:c>
      <x:c r="F41" s="6">
        <x:v>2</x:v>
      </x:c>
    </x:row>
    <x:row r="42">
      <x:c r="A42" s="2" t="s">
        <x:v>83</x:v>
      </x:c>
      <x:c r="B42" s="2" t="s">
        <x:v>131</x:v>
      </x:c>
      <x:c r="C42" s="7">
        <x:v>5.5185458432067298E-2</x:v>
      </x:c>
      <x:c r="D42" s="7">
        <x:v>0.36555067836161892</x:v>
      </x:c>
      <x:c r="E42" s="6">
        <x:v>0</x:v>
      </x:c>
      <x:c r="F42" s="6">
        <x:v>2</x:v>
      </x:c>
    </x:row>
    <x:row r="43">
      <x:c r="A43" s="2" t="s">
        <x:v>113</x:v>
      </x:c>
      <x:c r="B43" s="2" t="s">
        <x:v>119</x:v>
      </x:c>
      <x:c r="C43" s="7">
        <x:v>4.79290442928249E-2</x:v>
      </x:c>
      <x:c r="D43" s="7">
        <x:v>0.38766235650264269</x:v>
      </x:c>
      <x:c r="E43" s="6">
        <x:v>4</x:v>
      </x:c>
      <x:c r="F43" s="6">
        <x:v>9</x:v>
      </x:c>
    </x:row>
    <x:row r="44">
      <x:c r="A44" s="2" t="s">
        <x:v>80</x:v>
      </x:c>
      <x:c r="B44" s="2" t="s">
        <x:v>92</x:v>
      </x:c>
      <x:c r="C44" s="7">
        <x:v>5.2302039130609199E-2</x:v>
      </x:c>
      <x:c r="D44" s="7">
        <x:v>0.40739877673248909</x:v>
      </x:c>
      <x:c r="E44" s="6">
        <x:v>1</x:v>
      </x:c>
      <x:c r="F44" s="6">
        <x:v>2</x:v>
      </x:c>
    </x:row>
    <x:row r="45">
      <x:c r="A45" s="2" t="s">
        <x:v>80</x:v>
      </x:c>
      <x:c r="B45" s="2" t="s">
        <x:v>86</x:v>
      </x:c>
      <x:c r="C45" s="7">
        <x:v>5.3371633796202203E-2</x:v>
      </x:c>
      <x:c r="D45" s="7">
        <x:v>0.41927480641618059</x:v>
      </x:c>
      <x:c r="E45" s="6">
        <x:v>1</x:v>
      </x:c>
      <x:c r="F45" s="6">
        <x:v>2</x:v>
      </x:c>
    </x:row>
    <x:row r="46">
      <x:c r="A46" s="2" t="s">
        <x:v>116</x:v>
      </x:c>
      <x:c r="B46" s="2" t="s">
        <x:v>119</x:v>
      </x:c>
      <x:c r="C46" s="7">
        <x:v>4.75295507687966E-2</x:v>
      </x:c>
      <x:c r="D46" s="7">
        <x:v>0.46159042033040892</x:v>
      </x:c>
      <x:c r="E46" s="6">
        <x:v>6</x:v>
      </x:c>
      <x:c r="F46" s="6">
        <x:v>10</x:v>
      </x:c>
    </x:row>
    <x:row r="47">
      <x:c r="A47" s="2" t="s">
        <x:v>89</x:v>
      </x:c>
      <x:c r="B47" s="2" t="s">
        <x:v>125</x:v>
      </x:c>
      <x:c r="C47" s="7">
        <x:v>4.9190031639912403E-2</x:v>
      </x:c>
      <x:c r="D47" s="7">
        <x:v>0.48346456903924462</x:v>
      </x:c>
      <x:c r="E47" s="6">
        <x:v>3</x:v>
      </x:c>
      <x:c r="F47" s="6">
        <x:v>3</x:v>
      </x:c>
    </x:row>
    <x:row r="48">
      <x:c r="A48" s="2" t="s">
        <x:v>98</x:v>
      </x:c>
      <x:c r="B48" s="2" t="s">
        <x:v>131</x:v>
      </x:c>
      <x:c r="C48" s="7">
        <x:v>5.1859354743405903E-2</x:v>
      </x:c>
      <x:c r="D48" s="7">
        <x:v>0.50068957415999538</x:v>
      </x:c>
      <x:c r="E48" s="6">
        <x:v>3</x:v>
      </x:c>
      <x:c r="F48" s="6">
        <x:v>3</x:v>
      </x:c>
    </x:row>
    <x:row r="49">
      <x:c r="A49" s="2" t="s">
        <x:v>89</x:v>
      </x:c>
      <x:c r="B49" s="2" t="s">
        <x:v>95</x:v>
      </x:c>
      <x:c r="C49" s="7">
        <x:v>5.2038675869721503E-2</x:v>
      </x:c>
      <x:c r="D49" s="7">
        <x:v>0.51174018617028039</x:v>
      </x:c>
      <x:c r="E49" s="6">
        <x:v>3</x:v>
      </x:c>
      <x:c r="F49" s="6">
        <x:v>3</x:v>
      </x:c>
    </x:row>
    <x:row r="50">
      <x:c r="A50" s="2" t="s">
        <x:v>83</x:v>
      </x:c>
      <x:c r="B50" s="2" t="s">
        <x:v>98</x:v>
      </x:c>
      <x:c r="C50" s="7">
        <x:v>5.3189389133805297E-2</x:v>
      </x:c>
      <x:c r="D50" s="7">
        <x:v>0.52005357684505882</x:v>
      </x:c>
      <x:c r="E50" s="6">
        <x:v>1</x:v>
      </x:c>
      <x:c r="F50" s="6">
        <x:v>3</x:v>
      </x:c>
    </x:row>
    <x:row r="51">
      <x:c r="A51" s="2" t="s">
        <x:v>98</x:v>
      </x:c>
      <x:c r="B51" s="2" t="s">
        <x:v>128</x:v>
      </x:c>
      <x:c r="C51" s="7">
        <x:v>5.4304360474202999E-2</x:v>
      </x:c>
      <x:c r="D51" s="7">
        <x:v>0.52317058382413628</x:v>
      </x:c>
      <x:c r="E51" s="6">
        <x:v>3</x:v>
      </x:c>
      <x:c r="F51" s="6">
        <x:v>3</x:v>
      </x:c>
    </x:row>
    <x:row r="52">
      <x:c r="A52" s="2" t="s">
        <x:v>98</x:v>
      </x:c>
      <x:c r="B52" s="2" t="s">
        <x:v>101</x:v>
      </x:c>
      <x:c r="C52" s="7">
        <x:v>5.2891601591263999E-2</x:v>
      </x:c>
      <x:c r="D52" s="7">
        <x:v>0.66968080528062957</x:v>
      </x:c>
      <x:c r="E52" s="6">
        <x:v>4</x:v>
      </x:c>
      <x:c r="F52" s="6">
        <x:v>4</x:v>
      </x:c>
    </x:row>
    <x:row r="53">
      <x:c r="A53" s="2" t="s">
        <x:v>107</x:v>
      </x:c>
      <x:c r="B53" s="2" t="s">
        <x:v>110</x:v>
      </x:c>
      <x:c r="C53" s="7">
        <x:v>4.58852235895807E-2</x:v>
      </x:c>
      <x:c r="D53" s="7">
        <x:v>0.75</x:v>
      </x:c>
      <x:c r="E53" s="6">
        <x:v>5</x:v>
      </x:c>
      <x:c r="F53" s="6">
        <x:v>3</x:v>
      </x:c>
    </x:row>
    <x:row r="54">
      <x:c r="A54" s="2" t="s">
        <x:v>104</x:v>
      </x:c>
      <x:c r="B54" s="2" t="s">
        <x:v>107</x:v>
      </x:c>
      <x:c r="C54" s="7">
        <x:v>4.5642546555734999E-2</x:v>
      </x:c>
      <x:c r="D54" s="7">
        <x:v>0.75</x:v>
      </x:c>
      <x:c r="E54" s="6">
        <x:v>5</x:v>
      </x:c>
      <x:c r="F54" s="6">
        <x:v>3</x:v>
      </x:c>
    </x:row>
    <x:row r="55">
      <x:c r="A55" s="2" t="s">
        <x:v>104</x:v>
      </x:c>
      <x:c r="B55" s="2" t="s">
        <x:v>110</x:v>
      </x:c>
      <x:c r="C55" s="7">
        <x:v>4.5333046506470499E-2</x:v>
      </x:c>
      <x:c r="D55" s="7">
        <x:v>0.75</x:v>
      </x:c>
      <x:c r="E55" s="6">
        <x:v>5</x:v>
      </x:c>
      <x:c r="F55" s="6">
        <x:v>3</x:v>
      </x:c>
    </x:row>
    <x:row r="56">
      <x:c r="A56" s="2" t="s">
        <x:v>113</x:v>
      </x:c>
      <x:c r="B56" s="2" t="s">
        <x:v>116</x:v>
      </x:c>
      <x:c r="C56" s="7">
        <x:v>4.7096489821163698E-2</x:v>
      </x:c>
      <x:c r="D56" s="7">
        <x:v>0.7649353402452046</x:v>
      </x:c>
      <x:c r="E56" s="6">
        <x:v>10</x:v>
      </x:c>
      <x:c r="F56" s="6">
        <x:v>11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4.399999618530273"/>
  <x:cols>
    <x:col min="1" max="1" width="13" customWidth="1"/>
    <x:col min="2" max="2" width="21" customWidth="1"/>
    <x:col min="3" max="3" width="20" customWidth="1"/>
    <x:col min="4" max="5" width="21" customWidth="1"/>
    <x:col min="6" max="6" width="22" customWidth="1"/>
  </x:cols>
  <x:sheetData>
    <x:row r="1">
      <x:c r="A1" s="5" t="s">
        <x:v>207</x:v>
      </x:c>
      <x:c r="B1" s="5" t="s">
        <x:v>162</x:v>
      </x:c>
      <x:c r="C1" s="5" t="s">
        <x:v>165</x:v>
      </x:c>
      <x:c r="D1" s="5" t="s">
        <x:v>163</x:v>
      </x:c>
      <x:c r="E1" s="5" t="s">
        <x:v>164</x:v>
      </x:c>
      <x:c r="F1" s="5" t="s">
        <x:v>166</x:v>
      </x:c>
    </x:row>
    <x:row r="2">
      <x:c r="A2" s="2" t="s">
        <x:v>104</x:v>
      </x:c>
      <x:c r="B2" s="7">
        <x:v>6.7394557342771236E-2</x:v>
      </x:c>
      <x:c r="C2" s="7">
        <x:v>0.81424027992481052</x:v>
      </x:c>
      <x:c r="D2" s="7">
        <x:v>4.2009920540777172E-2</x:v>
      </x:c>
      <x:c r="E2" s="7">
        <x:v>7.2278562334845919E-2</x:v>
      </x:c>
      <x:c r="F2" s="7">
        <x:v>4.0766798567952074E-3</x:v>
      </x:c>
    </x:row>
    <x:row r="3">
      <x:c r="A3" s="2" t="s">
        <x:v>110</x:v>
      </x:c>
      <x:c r="B3" s="7">
        <x:v>5.1320578986681242E-2</x:v>
      </x:c>
      <x:c r="C3" s="7">
        <x:v>0.81388379820456125</x:v>
      </x:c>
      <x:c r="D3" s="7">
        <x:v>5.4849693544575313E-2</x:v>
      </x:c>
      <x:c r="E3" s="7">
        <x:v>7.9945929264182272E-2</x:v>
      </x:c>
      <x:c r="F3" s="7">
        <x:v>0</x:v>
      </x:c>
    </x:row>
    <x:row r="4">
      <x:c r="A4" s="2" t="s">
        <x:v>119</x:v>
      </x:c>
      <x:c r="B4" s="7">
        <x:v>0.1605784905507178</x:v>
      </x:c>
      <x:c r="C4" s="7">
        <x:v>0.55172209440325648</x:v>
      </x:c>
      <x:c r="D4" s="7">
        <x:v>9.2360687604016306E-2</x:v>
      </x:c>
      <x:c r="E4" s="7">
        <x:v>1.71564750818653E-2</x:v>
      </x:c>
      <x:c r="F4" s="7">
        <x:v>0.17818225236014401</x:v>
      </x:c>
    </x:row>
    <x:row r="5">
      <x:c r="A5" s="2" t="s">
        <x:v>128</x:v>
      </x:c>
      <x:c r="B5" s="7">
        <x:v>0.19310167846220369</x:v>
      </x:c>
      <x:c r="C5" s="7">
        <x:v>0.27744445571676268</x:v>
      </x:c>
      <x:c r="D5" s="7">
        <x:v>0.21077935125067701</x:v>
      </x:c>
      <x:c r="E5" s="7">
        <x:v>2.1889629129860221E-2</x:v>
      </x:c>
      <x:c r="F5" s="7">
        <x:v>0.29678488544049653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4.399999618530273"/>
  <x:cols>
    <x:col min="1" max="1" width="13" customWidth="1"/>
    <x:col min="2" max="2" width="23" customWidth="1"/>
    <x:col min="3" max="3" width="21" customWidth="1"/>
    <x:col min="4" max="4" width="22" customWidth="1"/>
    <x:col min="5" max="8" width="21" customWidth="1"/>
    <x:col min="9" max="10" width="22" customWidth="1"/>
    <x:col min="11" max="11" width="20" customWidth="1"/>
    <x:col min="12" max="16" width="21" customWidth="1"/>
  </x:cols>
  <x:sheetData>
    <x:row r="1">
      <x:c r="A1" s="5" t="s">
        <x:v>207</x:v>
      </x:c>
      <x:c r="B1" s="5" t="s">
        <x:v>208</x:v>
      </x:c>
      <x:c r="C1" s="5" t="s">
        <x:v>80</x:v>
      </x:c>
      <x:c r="D1" s="5" t="s">
        <x:v>83</x:v>
      </x:c>
      <x:c r="E1" s="5" t="s">
        <x:v>86</x:v>
      </x:c>
      <x:c r="F1" s="5" t="s">
        <x:v>89</x:v>
      </x:c>
      <x:c r="G1" s="5" t="s">
        <x:v>92</x:v>
      </x:c>
      <x:c r="H1" s="5" t="s">
        <x:v>95</x:v>
      </x:c>
      <x:c r="I1" s="5" t="s">
        <x:v>98</x:v>
      </x:c>
      <x:c r="J1" s="5" t="s">
        <x:v>101</x:v>
      </x:c>
      <x:c r="K1" s="5" t="s">
        <x:v>107</x:v>
      </x:c>
      <x:c r="L1" s="5" t="s">
        <x:v>113</x:v>
      </x:c>
      <x:c r="M1" s="5" t="s">
        <x:v>116</x:v>
      </x:c>
      <x:c r="N1" s="5" t="s">
        <x:v>122</x:v>
      </x:c>
      <x:c r="O1" s="5" t="s">
        <x:v>125</x:v>
      </x:c>
      <x:c r="P1" s="5" t="s">
        <x:v>131</x:v>
      </x:c>
    </x:row>
    <x:row r="2">
      <x:c r="A2" s="2" t="s">
        <x:v>104</x:v>
      </x:c>
      <x:c r="B2" s="7">
        <x:v>8.2611523327582724E-4</x:v>
      </x:c>
      <x:c r="C2" s="7">
        <x:v>8.9518991860197197E-3</x:v>
      </x:c>
      <x:c r="D2" s="7">
        <x:v>1.435732797793018E-3</x:v>
      </x:c>
      <x:c r="E2" s="7">
        <x:v>7.2278562334845919E-2</x:v>
      </x:c>
      <x:c r="F2" s="7">
        <x:v>3.1824719415293072E-2</x:v>
      </x:c>
      <x:c r="G2" s="7">
        <x:v>4.8686110142123297E-2</x:v>
      </x:c>
      <x:c r="H2" s="7">
        <x:v>7.9527068732672013E-2</x:v>
      </x:c>
      <x:c r="I2" s="7">
        <x:v>4.0766798567952074E-3</x:v>
      </x:c>
      <x:c r="J2" s="7">
        <x:v>9.7565480146282139E-3</x:v>
      </x:c>
      <x:c r="K2" s="7">
        <x:v>0.37185883570916228</x:v>
      </x:c>
      <x:c r="L2" s="7">
        <x:v>0.1376163956139122</x:v>
      </x:c>
      <x:c r="M2" s="7">
        <x:v>0.1218776042630213</x:v>
      </x:c>
      <x:c r="N2" s="7">
        <x:v>4.0574187742984137E-2</x:v>
      </x:c>
      <x:c r="O2" s="7">
        <x:v>7.1535656190749655E-2</x:v>
      </x:c>
      <x:c r="P2" s="7">
        <x:v>0</x:v>
      </x:c>
    </x:row>
    <x:row r="3">
      <x:c r="A3" s="2" t="s">
        <x:v>110</x:v>
      </x:c>
      <x:c r="B3" s="7">
        <x:v>8.561868090830577E-4</x:v>
      </x:c>
      <x:c r="C3" s="7">
        <x:v>0</x:v>
      </x:c>
      <x:c r="D3" s="7">
        <x:v>0</x:v>
      </x:c>
      <x:c r="E3" s="7">
        <x:v>7.9945929264182272E-2</x:v>
      </x:c>
      <x:c r="F3" s="7">
        <x:v>5.970239924574483E-2</x:v>
      </x:c>
      <x:c r="G3" s="7">
        <x:v>5.1320578986681242E-2</x:v>
      </x:c>
      <x:c r="H3" s="7">
        <x:v>4.153203383483639E-2</x:v>
      </x:c>
      <x:c r="I3" s="7">
        <x:v>0</x:v>
      </x:c>
      <x:c r="J3" s="7">
        <x:v>0</x:v>
      </x:c>
      <x:c r="K3" s="7">
        <x:v>0.41364152574599378</x:v>
      </x:c>
      <x:c r="L3" s="7">
        <x:v>0.14295988864616099</x:v>
      </x:c>
      <x:c r="M3" s="7">
        <x:v>0.13177997240163469</x:v>
      </x:c>
      <x:c r="N3" s="7">
        <x:v>5.4849693544575313E-2</x:v>
      </x:c>
      <x:c r="O3" s="7">
        <x:v>2.4267978330190631E-2</x:v>
      </x:c>
      <x:c r="P3" s="7">
        <x:v>0</x:v>
      </x:c>
    </x:row>
    <x:row r="4">
      <x:c r="A4" s="2" t="s">
        <x:v>119</x:v>
      </x:c>
      <x:c r="B4" s="7">
        <x:v>7.8215594951704071E-4</x:v>
      </x:c>
      <x:c r="C4" s="7">
        <x:v>4.6097132999351892E-2</x:v>
      </x:c>
      <x:c r="D4" s="7">
        <x:v>4.1425885904297403E-2</x:v>
      </x:c>
      <x:c r="E4" s="7">
        <x:v>1.71564750818653E-2</x:v>
      </x:c>
      <x:c r="F4" s="7">
        <x:v>8.3569281611863985E-2</x:v>
      </x:c>
      <x:c r="G4" s="7">
        <x:v>5.0405313489502147E-2</x:v>
      </x:c>
      <x:c r="H4" s="7">
        <x:v>0.10087026285572991</x:v>
      </x:c>
      <x:c r="I4" s="7">
        <x:v>8.746633260322717E-2</x:v>
      </x:c>
      <x:c r="J4" s="7">
        <x:v>6.4076044061863721E-2</x:v>
      </x:c>
      <x:c r="K4" s="7">
        <x:v>7.6189545547161105E-2</x:v>
      </x:c>
      <x:c r="L4" s="7">
        <x:v>8.8373318232717768E-2</x:v>
      </x:c>
      <x:c r="M4" s="7">
        <x:v>0.11403892663490869</x:v>
      </x:c>
      <x:c r="N4" s="7">
        <x:v>5.0934801699718903E-2</x:v>
      </x:c>
      <x:c r="O4" s="7">
        <x:v>8.8680759520874994E-2</x:v>
      </x:c>
      <x:c r="P4" s="7">
        <x:v>9.0715919756916785E-2</x:v>
      </x:c>
    </x:row>
    <x:row r="5">
      <x:c r="A5" s="2" t="s">
        <x:v>128</x:v>
      </x:c>
      <x:c r="B5" s="7">
        <x:v>9.2600801676488373E-4</x:v>
      </x:c>
      <x:c r="C5" s="7">
        <x:v>6.226333830235193E-2</x:v>
      </x:c>
      <x:c r="D5" s="7">
        <x:v>0.15763119040407941</x:v>
      </x:c>
      <x:c r="E5" s="7">
        <x:v>2.1889629129860221E-2</x:v>
      </x:c>
      <x:c r="F5" s="7">
        <x:v>7.2937513303358542E-2</x:v>
      </x:c>
      <x:c r="G5" s="7">
        <x:v>0</x:v>
      </x:c>
      <x:c r="H5" s="7">
        <x:v>0.18118306482885099</x:v>
      </x:c>
      <x:c r="I5" s="7">
        <x:v>0.13917092525237479</x:v>
      </x:c>
      <x:c r="J5" s="7">
        <x:v>0.13083834015985171</x:v>
      </x:c>
      <x:c r="K5" s="7">
        <x:v>0</x:v>
      </x:c>
      <x:c r="L5" s="7">
        <x:v>0</x:v>
      </x:c>
      <x:c r="M5" s="7">
        <x:v>2.3323877584553159E-2</x:v>
      </x:c>
      <x:c r="N5" s="7">
        <x:v>5.3148160846597639E-2</x:v>
      </x:c>
      <x:c r="O5" s="7">
        <x:v>0</x:v>
      </x:c>
      <x:c r="P5" s="7">
        <x:v>0.15761396018812171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4.399999618530273"/>
  <x:cols>
    <x:col min="1" max="1" width="20" customWidth="1"/>
    <x:col min="2" max="2" width="25" customWidth="1"/>
    <x:col min="3" max="3" width="20" customWidth="1"/>
    <x:col min="4" max="4" width="19" customWidth="1"/>
    <x:col min="5" max="5" width="14" customWidth="1"/>
    <x:col min="6" max="6" width="13" customWidth="1"/>
    <x:col min="7" max="7" width="14" customWidth="1"/>
    <x:col min="8" max="9" width="10" customWidth="1"/>
    <x:col min="10" max="10" width="18" customWidth="1"/>
    <x:col min="11" max="11" width="10" customWidth="1"/>
    <x:col min="12" max="12" width="11" customWidth="1"/>
    <x:col min="13" max="14" width="10" customWidth="1"/>
  </x:cols>
  <x:sheetData>
    <x:row r="1">
      <x:c r="A1" s="5" t="s">
        <x:v>209</x:v>
      </x:c>
      <x:c r="B1" s="5" t="s">
        <x:v>210</x:v>
      </x:c>
      <x:c r="C1" s="5" t="s">
        <x:v>211</x:v>
      </x:c>
      <x:c r="D1" s="5" t="s">
        <x:v>212</x:v>
      </x:c>
      <x:c r="E1" s="5" t="s">
        <x:v>213</x:v>
      </x:c>
      <x:c r="F1" s="5" t="s">
        <x:v>214</x:v>
      </x:c>
      <x:c r="G1" s="5" t="s">
        <x:v>215</x:v>
      </x:c>
      <x:c r="H1" s="5" t="s">
        <x:v>216</x:v>
      </x:c>
      <x:c r="I1" s="5" t="s">
        <x:v>217</x:v>
      </x:c>
      <x:c r="J1" s="5" t="s">
        <x:v>218</x:v>
      </x:c>
      <x:c r="K1" s="5" t="s">
        <x:v>219</x:v>
      </x:c>
      <x:c r="L1" s="5" t="s">
        <x:v>220</x:v>
      </x:c>
      <x:c r="M1" s="5" t="s">
        <x:v>221</x:v>
      </x:c>
      <x:c r="N1" s="5" t="s">
        <x:v>222</x:v>
      </x:c>
    </x:row>
    <x:row r="2">
      <x:c r="A2" s="7">
        <x:v>0.74615384615384628</x:v>
      </x:c>
      <x:c r="B2" s="7">
        <x:v>0.88247964084463715</x:v>
      </x:c>
      <x:c r="C2" s="7">
        <x:v>0.86021505376344087</x:v>
      </x:c>
      <x:c r="D2" s="7">
        <x:v>-1.18064344139494</x:v>
      </x:c>
      <x:c r="E2" s="6">
        <x:v>13</x:v>
      </x:c>
      <x:c r="F2" s="6">
        <x:v>40</x:v>
      </x:c>
      <x:c r="G2" s="6">
        <x:v>0</x:v>
      </x:c>
      <x:c r="H2" s="6">
        <x:v>17</x:v>
      </x:c>
      <x:c r="I2" s="6">
        <x:v>16384</x:v>
      </x:c>
      <x:c r="J2" s="6">
        <x:v>6000</x:v>
      </x:c>
      <x:c r="K2" s="6">
        <x:v>4</x:v>
      </x:c>
      <x:c r="L2" s="7">
        <x:v>0.5</x:v>
      </x:c>
      <x:c r="M2" s="6" t="b">
        <x:v>0</x:v>
      </x:c>
      <x:c r="N2" s="6">
        <x:v>42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4.399999618530273"/>
  <x:cols>
    <x:col min="1" max="1" width="13" customWidth="1"/>
    <x:col min="2" max="2" width="16" customWidth="1"/>
    <x:col min="3" max="5" width="22" customWidth="1"/>
  </x:cols>
  <x:sheetData>
    <x:row r="1">
      <x:c r="A1" s="5" t="s">
        <x:v>74</x:v>
      </x:c>
      <x:c r="B1" s="5" t="s">
        <x:v>223</x:v>
      </x:c>
      <x:c r="C1" s="5" t="s">
        <x:v>183</x:v>
      </x:c>
      <x:c r="D1" s="5" t="s">
        <x:v>224</x:v>
      </x:c>
      <x:c r="E1" s="5" t="s">
        <x:v>225</x:v>
      </x:c>
    </x:row>
    <x:row r="2">
      <x:c r="A2" s="2" t="s">
        <x:v>226</x:v>
      </x:c>
      <x:c r="B2" s="2" t="s">
        <x:v>227</x:v>
      </x:c>
      <x:c r="C2" s="7">
        <x:v>1.8853695324283559E-2</x:v>
      </x:c>
      <x:c r="D2" s="7">
        <x:v>1.0948551697588109</x:v>
      </x:c>
      <x:c r="E2" s="7">
        <x:v>3.9798134853256149</x:v>
      </x:c>
    </x:row>
    <x:row r="3">
      <x:c r="A3" s="2" t="s">
        <x:v>228</x:v>
      </x:c>
      <x:c r="B3" s="2" t="s">
        <x:v>227</x:v>
      </x:c>
      <x:c r="C3" s="7">
        <x:v>0.27526395173453999</x:v>
      </x:c>
      <x:c r="D3" s="7">
        <x:v>0.16344273785694011</x:v>
      </x:c>
      <x:c r="E3" s="7">
        <x:v>3.8660960974825662</x:v>
      </x:c>
    </x:row>
    <x:row r="4">
      <x:c r="A4" s="2" t="s">
        <x:v>229</x:v>
      </x:c>
      <x:c r="B4" s="2" t="s">
        <x:v>227</x:v>
      </x:c>
      <x:c r="C4" s="7">
        <x:v>6.7873303167420816E-3</x:v>
      </x:c>
      <x:c r="D4" s="7">
        <x:v>1.0948551697588109</x:v>
      </x:c>
      <x:c r="E4" s="7">
        <x:v>3.790419494190822</x:v>
      </x:c>
    </x:row>
    <x:row r="5">
      <x:c r="A5" s="2" t="s">
        <x:v>230</x:v>
      </x:c>
      <x:c r="B5" s="2" t="s">
        <x:v>227</x:v>
      </x:c>
      <x:c r="C5" s="7">
        <x:v>0.1772247360482655</x:v>
      </x:c>
      <x:c r="D5" s="7">
        <x:v>0.29428838912814109</x:v>
      </x:c>
      <x:c r="E5" s="7">
        <x:v>2.9086275808561282</x:v>
      </x:c>
    </x:row>
    <x:row r="6">
      <x:c r="A6" s="2" t="s">
        <x:v>86</x:v>
      </x:c>
      <x:c r="B6" s="2" t="s">
        <x:v>231</x:v>
      </x:c>
      <x:c r="C6" s="7">
        <x:v>0.2496229260935143</x:v>
      </x:c>
      <x:c r="D6" s="7">
        <x:v>0</x:v>
      </x:c>
      <x:c r="E6" s="7">
        <x:v>2.737444750206087</x:v>
      </x:c>
    </x:row>
    <x:row r="7">
      <x:c r="A7" s="2" t="s">
        <x:v>232</x:v>
      </x:c>
      <x:c r="B7" s="2" t="s">
        <x:v>227</x:v>
      </x:c>
      <x:c r="C7" s="7">
        <x:v>0.14479638009049781</x:v>
      </x:c>
      <x:c r="D7" s="7">
        <x:v>0.29428838912814109</x:v>
      </x:c>
      <x:c r="E7" s="7">
        <x:v>2.399631229681372</x:v>
      </x:c>
    </x:row>
    <x:row r="8">
      <x:c r="A8" s="2" t="s">
        <x:v>233</x:v>
      </x:c>
      <x:c r="B8" s="2" t="s">
        <x:v>227</x:v>
      </x:c>
      <x:c r="C8" s="7">
        <x:v>8.8989441930618404E-2</x:v>
      </x:c>
      <x:c r="D8" s="7">
        <x:v>0.40512607609368517</x:v>
      </x:c>
      <x:c r="E8" s="7">
        <x:v>2.0161447013171458</x:v>
      </x:c>
    </x:row>
    <x:row r="9">
      <x:c r="A9" s="2" t="s">
        <x:v>234</x:v>
      </x:c>
      <x:c r="B9" s="2" t="s">
        <x:v>227</x:v>
      </x:c>
      <x:c r="C9" s="7">
        <x:v>0.1772247360482655</x:v>
      </x:c>
      <x:c r="D9" s="7">
        <x:v>0</x:v>
      </x:c>
      <x:c r="E9" s="7">
        <x:v>1.6010808033973301</x:v>
      </x:c>
    </x:row>
    <x:row r="10">
      <x:c r="A10" s="2" t="s">
        <x:v>235</x:v>
      </x:c>
      <x:c r="B10" s="2" t="s">
        <x:v>227</x:v>
      </x:c>
      <x:c r="C10" s="7">
        <x:v>6.636500754147813E-2</x:v>
      </x:c>
      <x:c r="D10" s="7">
        <x:v>0.36382437884580998</x:v>
      </x:c>
      <x:c r="E10" s="7">
        <x:v>1.477524233949564</x:v>
      </x:c>
    </x:row>
    <x:row r="11">
      <x:c r="A11" s="2" t="s">
        <x:v>236</x:v>
      </x:c>
      <x:c r="B11" s="2" t="s">
        <x:v>227</x:v>
      </x:c>
      <x:c r="C11" s="7">
        <x:v>7.4660633484162894E-2</x:v>
      </x:c>
      <x:c r="D11" s="7">
        <x:v>0.32889852162496491</x:v>
      </x:c>
      <x:c r="E11" s="7">
        <x:v>1.4525542344712721</x:v>
      </x:c>
    </x:row>
    <x:row r="12">
      <x:c r="A12" s="2" t="s">
        <x:v>237</x:v>
      </x:c>
      <x:c r="B12" s="2" t="s">
        <x:v>227</x:v>
      </x:c>
      <x:c r="C12" s="7">
        <x:v>8.7481146304675725E-2</x:v>
      </x:c>
      <x:c r="D12" s="7">
        <x:v>0.19965907277840531</x:v>
      </x:c>
      <x:c r="E12" s="7">
        <x:v>1.079564174148619</x:v>
      </x:c>
    </x:row>
    <x:row r="13">
      <x:c r="A13" s="2" t="s">
        <x:v>238</x:v>
      </x:c>
      <x:c r="B13" s="2" t="s">
        <x:v>227</x:v>
      </x:c>
      <x:c r="C13" s="7">
        <x:v>0.13197586726998489</x:v>
      </x:c>
      <x:c r="D13" s="7">
        <x:v>0</x:v>
      </x:c>
      <x:c r="E13" s="7">
        <x:v>0.89085333664185651</x:v>
      </x:c>
    </x:row>
    <x:row r="14">
      <x:c r="A14" s="2" t="s">
        <x:v>239</x:v>
      </x:c>
      <x:c r="B14" s="2" t="s">
        <x:v>227</x:v>
      </x:c>
      <x:c r="C14" s="7">
        <x:v>7.1644042232277536E-2</x:v>
      </x:c>
      <x:c r="D14" s="7">
        <x:v>0.16344273785694011</x:v>
      </x:c>
      <x:c r="E14" s="7">
        <x:v>0.67007249708293692</x:v>
      </x:c>
    </x:row>
    <x:row r="15">
      <x:c r="A15" s="2" t="s">
        <x:v>240</x:v>
      </x:c>
      <x:c r="B15" s="2" t="s">
        <x:v>227</x:v>
      </x:c>
      <x:c r="C15" s="7">
        <x:v>0.1153846153846154</x:v>
      </x:c>
      <x:c r="D15" s="7">
        <x:v>0</x:v>
      </x:c>
      <x:c r="E15" s="7">
        <x:v>0.63043659883151637</x:v>
      </x:c>
    </x:row>
    <x:row r="16">
      <x:c r="A16" s="2" t="s">
        <x:v>241</x:v>
      </x:c>
      <x:c r="B16" s="2" t="s">
        <x:v>227</x:v>
      </x:c>
      <x:c r="C16" s="7">
        <x:v>0.11161387631975871</x:v>
      </x:c>
      <x:c r="D16" s="7">
        <x:v>0</x:v>
      </x:c>
      <x:c r="E16" s="7">
        <x:v>0.57125097660189383</x:v>
      </x:c>
    </x:row>
    <x:row r="17">
      <x:c r="A17" s="2" t="s">
        <x:v>242</x:v>
      </x:c>
      <x:c r="B17" s="2" t="s">
        <x:v>227</x:v>
      </x:c>
      <x:c r="C17" s="7">
        <x:v>9.4268476621417796E-2</x:v>
      </x:c>
      <x:c r="D17" s="7">
        <x:v>2.4212306826074888E-2</x:v>
      </x:c>
      <x:c r="E17" s="7">
        <x:v>0.40657432409919758</x:v>
      </x:c>
    </x:row>
    <x:row r="18">
      <x:c r="A18" s="2" t="s">
        <x:v>243</x:v>
      </x:c>
      <x:c r="B18" s="2" t="s">
        <x:v>227</x:v>
      </x:c>
      <x:c r="C18" s="7">
        <x:v>9.4268476621417796E-2</x:v>
      </x:c>
      <x:c r="D18" s="7">
        <x:v>0</x:v>
      </x:c>
      <x:c r="E18" s="7">
        <x:v>0.29899711434562898</x:v>
      </x:c>
    </x:row>
    <x:row r="19">
      <x:c r="A19" s="2" t="s">
        <x:v>244</x:v>
      </x:c>
      <x:c r="B19" s="2" t="s">
        <x:v>227</x:v>
      </x:c>
      <x:c r="C19" s="7">
        <x:v>4.3740573152337862E-2</x:v>
      </x:c>
      <x:c r="D19" s="7">
        <x:v>0.17820405973437989</x:v>
      </x:c>
      <x:c r="E19" s="7">
        <x:v>0.29768462265299828</x:v>
      </x:c>
    </x:row>
    <x:row r="20">
      <x:c r="A20" s="2" t="s">
        <x:v>245</x:v>
      </x:c>
      <x:c r="B20" s="2" t="s">
        <x:v>227</x:v>
      </x:c>
      <x:c r="C20" s="7">
        <x:v>9.1251885369532437E-2</x:v>
      </x:c>
      <x:c r="D20" s="7">
        <x:v>0</x:v>
      </x:c>
      <x:c r="E20" s="7">
        <x:v>0.25164861656193088</x:v>
      </x:c>
    </x:row>
    <x:row r="21">
      <x:c r="A21" s="2" t="s">
        <x:v>246</x:v>
      </x:c>
      <x:c r="B21" s="2" t="s">
        <x:v>227</x:v>
      </x:c>
      <x:c r="C21" s="7">
        <x:v>6.4102564102564111E-2</x:v>
      </x:c>
      <x:c r="D21" s="7">
        <x:v>2.1455013044025421E-2</x:v>
      </x:c>
      <x:c r="E21" s="7">
        <x:v>-7.9161529859356788E-2</x:v>
      </x:c>
    </x:row>
    <x:row r="22">
      <x:c r="A22" s="2" t="s">
        <x:v>247</x:v>
      </x:c>
      <x:c r="B22" s="2" t="s">
        <x:v>227</x:v>
      </x:c>
      <x:c r="C22" s="7">
        <x:v>5.8823529411764712E-2</x:v>
      </x:c>
      <x:c r="D22" s="7">
        <x:v>0</x:v>
      </x:c>
      <x:c r="E22" s="7">
        <x:v>-0.25734773461282501</x:v>
      </x:c>
    </x:row>
    <x:row r="23">
      <x:c r="A23" s="2" t="s">
        <x:v>248</x:v>
      </x:c>
      <x:c r="B23" s="2" t="s">
        <x:v>227</x:v>
      </x:c>
      <x:c r="C23" s="7">
        <x:v>5.0527903469079941E-2</x:v>
      </x:c>
      <x:c r="D23" s="7">
        <x:v>0</x:v>
      </x:c>
      <x:c r="E23" s="7">
        <x:v>-0.38755610351799502</x:v>
      </x:c>
    </x:row>
    <x:row r="24">
      <x:c r="A24" s="2" t="s">
        <x:v>249</x:v>
      </x:c>
      <x:c r="B24" s="2" t="s">
        <x:v>227</x:v>
      </x:c>
      <x:c r="C24" s="7">
        <x:v>5.0527903469079941E-2</x:v>
      </x:c>
      <x:c r="D24" s="7">
        <x:v>0</x:v>
      </x:c>
      <x:c r="E24" s="7">
        <x:v>-0.38755610351799502</x:v>
      </x:c>
    </x:row>
    <x:row r="25">
      <x:c r="A25" s="2" t="s">
        <x:v>250</x:v>
      </x:c>
      <x:c r="B25" s="2" t="s">
        <x:v>227</x:v>
      </x:c>
      <x:c r="C25" s="7">
        <x:v>4.3740573152337862E-2</x:v>
      </x:c>
      <x:c r="D25" s="7">
        <x:v>0</x:v>
      </x:c>
      <x:c r="E25" s="7">
        <x:v>-0.49409022353131588</x:v>
      </x:c>
    </x:row>
    <x:row r="26">
      <x:c r="A26" s="2" t="s">
        <x:v>128</x:v>
      </x:c>
      <x:c r="B26" s="2" t="s">
        <x:v>231</x:v>
      </x:c>
      <x:c r="C26" s="7">
        <x:v>3.996983408748115E-2</x:v>
      </x:c>
      <x:c r="D26" s="7">
        <x:v>0</x:v>
      </x:c>
      <x:c r="E26" s="7">
        <x:v>-0.55327584576093869</x:v>
      </x:c>
    </x:row>
    <x:row r="27">
      <x:c r="A27" s="2" t="s">
        <x:v>80</x:v>
      </x:c>
      <x:c r="B27" s="2" t="s">
        <x:v>231</x:v>
      </x:c>
      <x:c r="C27" s="7">
        <x:v>3.996983408748115E-2</x:v>
      </x:c>
      <x:c r="D27" s="7">
        <x:v>0</x:v>
      </x:c>
      <x:c r="E27" s="7">
        <x:v>-0.55327584576093869</x:v>
      </x:c>
    </x:row>
    <x:row r="28">
      <x:c r="A28" s="2" t="s">
        <x:v>251</x:v>
      </x:c>
      <x:c r="B28" s="2" t="s">
        <x:v>227</x:v>
      </x:c>
      <x:c r="C28" s="7">
        <x:v>3.0920060331825039E-2</x:v>
      </x:c>
      <x:c r="D28" s="7">
        <x:v>2.4212306826074888E-2</x:v>
      </x:c>
      <x:c r="E28" s="7">
        <x:v>-0.58774412935846465</x:v>
      </x:c>
    </x:row>
    <x:row r="29">
      <x:c r="A29" s="2" t="s">
        <x:v>252</x:v>
      </x:c>
      <x:c r="B29" s="2" t="s">
        <x:v>227</x:v>
      </x:c>
      <x:c r="C29" s="7">
        <x:v>3.6199095022624438E-2</x:v>
      </x:c>
      <x:c r="D29" s="7">
        <x:v>0</x:v>
      </x:c>
      <x:c r="E29" s="7">
        <x:v>-0.61246146799056145</x:v>
      </x:c>
    </x:row>
    <x:row r="30">
      <x:c r="A30" s="2" t="s">
        <x:v>253</x:v>
      </x:c>
      <x:c r="B30" s="2" t="s">
        <x:v>227</x:v>
      </x:c>
      <x:c r="C30" s="7">
        <x:v>2.9411764705882349E-2</x:v>
      </x:c>
      <x:c r="D30" s="7">
        <x:v>0</x:v>
      </x:c>
      <x:c r="E30" s="7">
        <x:v>-0.71899558800388252</x:v>
      </x:c>
    </x:row>
    <x:row r="31">
      <x:c r="A31" s="2" t="s">
        <x:v>254</x:v>
      </x:c>
      <x:c r="B31" s="2" t="s">
        <x:v>227</x:v>
      </x:c>
      <x:c r="C31" s="7">
        <x:v>0</x:v>
      </x:c>
      <x:c r="D31" s="7">
        <x:v>0.1003519645765565</x:v>
      </x:c>
      <x:c r="E31" s="7">
        <x:v>-0.73477166139548733</x:v>
      </x:c>
    </x:row>
    <x:row r="32">
      <x:c r="A32" s="2" t="s">
        <x:v>255</x:v>
      </x:c>
      <x:c r="B32" s="2" t="s">
        <x:v>227</x:v>
      </x:c>
      <x:c r="C32" s="7">
        <x:v>2.48868778280543E-2</x:v>
      </x:c>
      <x:c r="D32" s="7">
        <x:v>0</x:v>
      </x:c>
      <x:c r="E32" s="7">
        <x:v>-0.79001833467942972</x:v>
      </x:c>
    </x:row>
    <x:row r="33">
      <x:c r="A33" s="2" t="s">
        <x:v>131</x:v>
      </x:c>
      <x:c r="B33" s="2" t="s">
        <x:v>231</x:v>
      </x:c>
      <x:c r="C33" s="7">
        <x:v>2.4132730015082961E-2</x:v>
      </x:c>
      <x:c r="D33" s="7">
        <x:v>0</x:v>
      </x:c>
      <x:c r="E33" s="7">
        <x:v>-0.80185545912535428</x:v>
      </x:c>
    </x:row>
    <x:row r="34">
      <x:c r="A34" s="2" t="s">
        <x:v>256</x:v>
      </x:c>
      <x:c r="B34" s="2" t="s">
        <x:v>227</x:v>
      </x:c>
      <x:c r="C34" s="7">
        <x:v>1.357466063348416E-2</x:v>
      </x:c>
      <x:c r="D34" s="7">
        <x:v>3.8912556069747861E-3</x:v>
      </x:c>
      <x:c r="E34" s="7">
        <x:v>-0.9502860424441486</x:v>
      </x:c>
    </x:row>
    <x:row r="35">
      <x:c r="A35" s="2" t="s">
        <x:v>257</x:v>
      </x:c>
      <x:c r="B35" s="2" t="s">
        <x:v>227</x:v>
      </x:c>
      <x:c r="C35" s="7">
        <x:v>1.1312217194570141E-2</x:v>
      </x:c>
      <x:c r="D35" s="7">
        <x:v>0</x:v>
      </x:c>
      <x:c r="E35" s="7">
        <x:v>-1.003086574706072</x:v>
      </x:c>
    </x:row>
    <x:row r="36">
      <x:c r="A36" s="2" t="s">
        <x:v>92</x:v>
      </x:c>
      <x:c r="B36" s="2" t="s">
        <x:v>231</x:v>
      </x:c>
      <x:c r="C36" s="7">
        <x:v>0</x:v>
      </x:c>
      <x:c r="D36" s="7">
        <x:v>3.8912556069747861E-3</x:v>
      </x:c>
      <x:c r="E36" s="7">
        <x:v>-1.163354282470791</x:v>
      </x:c>
    </x:row>
    <x:row r="37">
      <x:c r="A37" s="2" t="s">
        <x:v>83</x:v>
      </x:c>
      <x:c r="B37" s="2" t="s">
        <x:v>231</x:v>
      </x:c>
      <x:c r="C37" s="7">
        <x:v>0</x:v>
      </x:c>
      <x:c r="D37" s="7">
        <x:v>0</x:v>
      </x:c>
      <x:c r="E37" s="7">
        <x:v>-1.18064344139494</x:v>
      </x:c>
    </x:row>
    <x:row r="38">
      <x:c r="A38" s="2" t="s">
        <x:v>89</x:v>
      </x:c>
      <x:c r="B38" s="2" t="s">
        <x:v>231</x:v>
      </x:c>
      <x:c r="C38" s="7">
        <x:v>0</x:v>
      </x:c>
      <x:c r="D38" s="7">
        <x:v>0</x:v>
      </x:c>
      <x:c r="E38" s="7">
        <x:v>-1.18064344139494</x:v>
      </x:c>
    </x:row>
    <x:row r="39">
      <x:c r="A39" s="2" t="s">
        <x:v>258</x:v>
      </x:c>
      <x:c r="B39" s="2" t="s">
        <x:v>227</x:v>
      </x:c>
      <x:c r="C39" s="7">
        <x:v>0</x:v>
      </x:c>
      <x:c r="D39" s="7">
        <x:v>0</x:v>
      </x:c>
      <x:c r="E39" s="7">
        <x:v>-1.18064344139494</x:v>
      </x:c>
    </x:row>
    <x:row r="40">
      <x:c r="A40" s="2" t="s">
        <x:v>101</x:v>
      </x:c>
      <x:c r="B40" s="2" t="s">
        <x:v>231</x:v>
      </x:c>
      <x:c r="C40" s="7">
        <x:v>0</x:v>
      </x:c>
      <x:c r="D40" s="7">
        <x:v>0</x:v>
      </x:c>
      <x:c r="E40" s="7">
        <x:v>-1.18064344139494</x:v>
      </x:c>
    </x:row>
    <x:row r="41">
      <x:c r="A41" s="2" t="s">
        <x:v>95</x:v>
      </x:c>
      <x:c r="B41" s="2" t="s">
        <x:v>231</x:v>
      </x:c>
      <x:c r="C41" s="7">
        <x:v>0</x:v>
      </x:c>
      <x:c r="D41" s="7">
        <x:v>0</x:v>
      </x:c>
      <x:c r="E41" s="7">
        <x:v>-1.18064344139494</x:v>
      </x:c>
    </x:row>
    <x:row r="42">
      <x:c r="A42" s="2" t="s">
        <x:v>98</x:v>
      </x:c>
      <x:c r="B42" s="2" t="s">
        <x:v>231</x:v>
      </x:c>
      <x:c r="C42" s="7">
        <x:v>0</x:v>
      </x:c>
      <x:c r="D42" s="7">
        <x:v>0</x:v>
      </x:c>
      <x:c r="E42" s="7">
        <x:v>-1.18064344139494</x:v>
      </x:c>
    </x:row>
    <x:row r="43">
      <x:c r="A43" s="2" t="s">
        <x:v>119</x:v>
      </x:c>
      <x:c r="B43" s="2" t="s">
        <x:v>231</x:v>
      </x:c>
      <x:c r="C43" s="7">
        <x:v>0</x:v>
      </x:c>
      <x:c r="D43" s="7">
        <x:v>0</x:v>
      </x:c>
      <x:c r="E43" s="7">
        <x:v>-1.18064344139494</x:v>
      </x:c>
    </x:row>
    <x:row r="44">
      <x:c r="A44" s="2" t="s">
        <x:v>122</x:v>
      </x:c>
      <x:c r="B44" s="2" t="s">
        <x:v>231</x:v>
      </x:c>
      <x:c r="C44" s="7">
        <x:v>0</x:v>
      </x:c>
      <x:c r="D44" s="7">
        <x:v>0</x:v>
      </x:c>
      <x:c r="E44" s="7">
        <x:v>-1.18064344139494</x:v>
      </x:c>
    </x:row>
    <x:row r="45">
      <x:c r="A45" s="2" t="s">
        <x:v>125</x:v>
      </x:c>
      <x:c r="B45" s="2" t="s">
        <x:v>231</x:v>
      </x:c>
      <x:c r="C45" s="7">
        <x:v>0</x:v>
      </x:c>
      <x:c r="D45" s="7">
        <x:v>0</x:v>
      </x:c>
      <x:c r="E45" s="7">
        <x:v>-1.18064344139494</x:v>
      </x:c>
    </x:row>
    <x:row r="46">
      <x:c r="A46" s="2" t="s">
        <x:v>259</x:v>
      </x:c>
      <x:c r="B46" s="2" t="s">
        <x:v>227</x:v>
      </x:c>
      <x:c r="C46" s="7">
        <x:v>0</x:v>
      </x:c>
      <x:c r="D46" s="7">
        <x:v>0</x:v>
      </x:c>
      <x:c r="E46" s="7">
        <x:v>-1.18064344139494</x:v>
      </x:c>
    </x:row>
    <x:row r="47">
      <x:c r="A47" s="2" t="s">
        <x:v>260</x:v>
      </x:c>
      <x:c r="B47" s="2" t="s">
        <x:v>227</x:v>
      </x:c>
      <x:c r="C47" s="7">
        <x:v>0</x:v>
      </x:c>
      <x:c r="D47" s="7">
        <x:v>0</x:v>
      </x:c>
      <x:c r="E47" s="7">
        <x:v>-1.18064344139494</x:v>
      </x:c>
    </x:row>
    <x:row r="48">
      <x:c r="A48" s="2" t="s">
        <x:v>261</x:v>
      </x:c>
      <x:c r="B48" s="2" t="s">
        <x:v>227</x:v>
      </x:c>
      <x:c r="C48" s="7">
        <x:v>0</x:v>
      </x:c>
      <x:c r="D48" s="7">
        <x:v>0</x:v>
      </x:c>
      <x:c r="E48" s="7">
        <x:v>-1.18064344139494</x:v>
      </x:c>
    </x:row>
    <x:row r="49">
      <x:c r="A49" s="2" t="s">
        <x:v>262</x:v>
      </x:c>
      <x:c r="B49" s="2" t="s">
        <x:v>227</x:v>
      </x:c>
      <x:c r="C49" s="7">
        <x:v>0</x:v>
      </x:c>
      <x:c r="D49" s="7">
        <x:v>0</x:v>
      </x:c>
      <x:c r="E49" s="7">
        <x:v>-1.18064344139494</x:v>
      </x:c>
    </x:row>
    <x:row r="50">
      <x:c r="A50" s="2" t="s">
        <x:v>263</x:v>
      </x:c>
      <x:c r="B50" s="2" t="s">
        <x:v>227</x:v>
      </x:c>
      <x:c r="C50" s="7">
        <x:v>0</x:v>
      </x:c>
      <x:c r="D50" s="7">
        <x:v>0</x:v>
      </x:c>
      <x:c r="E50" s="7">
        <x:v>-1.18064344139494</x:v>
      </x:c>
    </x:row>
    <x:row r="51">
      <x:c r="A51" s="2" t="s">
        <x:v>264</x:v>
      </x:c>
      <x:c r="B51" s="2" t="s">
        <x:v>227</x:v>
      </x:c>
      <x:c r="C51" s="7">
        <x:v>0</x:v>
      </x:c>
      <x:c r="D51" s="7">
        <x:v>0</x:v>
      </x:c>
      <x:c r="E51" s="7">
        <x:v>-1.18064344139494</x:v>
      </x:c>
    </x:row>
    <x:row r="52">
      <x:c r="A52" s="2" t="s">
        <x:v>265</x:v>
      </x:c>
      <x:c r="B52" s="2" t="s">
        <x:v>227</x:v>
      </x:c>
      <x:c r="C52" s="7">
        <x:v>0</x:v>
      </x:c>
      <x:c r="D52" s="7">
        <x:v>0</x:v>
      </x:c>
      <x:c r="E52" s="7">
        <x:v>-1.18064344139494</x:v>
      </x:c>
    </x:row>
    <x:row r="53">
      <x:c r="A53" s="2" t="s">
        <x:v>266</x:v>
      </x:c>
      <x:c r="B53" s="2" t="s">
        <x:v>227</x:v>
      </x:c>
      <x:c r="C53" s="7">
        <x:v>0</x:v>
      </x:c>
      <x:c r="D53" s="7">
        <x:v>0</x:v>
      </x:c>
      <x:c r="E53" s="7">
        <x:v>-1.18064344139494</x:v>
      </x:c>
    </x:row>
    <x:row r="54">
      <x:c r="A54" s="2" t="s">
        <x:v>267</x:v>
      </x:c>
      <x:c r="B54" s="2" t="s">
        <x:v>227</x:v>
      </x:c>
      <x:c r="C54" s="7">
        <x:v>0</x:v>
      </x:c>
      <x:c r="D54" s="7">
        <x:v>0</x:v>
      </x:c>
      <x:c r="E54" s="7">
        <x:v>-1.18064344139494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4.399999618530273"/>
  <x:cols>
    <x:col min="1" max="1" width="11" customWidth="1"/>
    <x:col min="2" max="2" width="37" customWidth="1"/>
    <x:col min="3" max="3" width="22" customWidth="1"/>
    <x:col min="4" max="5" width="20" customWidth="1"/>
    <x:col min="6" max="6" width="11" customWidth="1"/>
  </x:cols>
  <x:sheetData>
    <x:row r="1">
      <x:c r="A1" s="5" t="s">
        <x:v>74</x:v>
      </x:c>
      <x:c r="B1" s="5" t="s">
        <x:v>268</x:v>
      </x:c>
      <x:c r="C1" s="5" t="s">
        <x:v>269</x:v>
      </x:c>
      <x:c r="D1" s="5" t="s">
        <x:v>270</x:v>
      </x:c>
      <x:c r="E1" s="5" t="s">
        <x:v>271</x:v>
      </x:c>
      <x:c r="F1" s="5" t="s">
        <x:v>272</x:v>
      </x:c>
    </x:row>
    <x:row r="2">
      <x:c r="A2" s="2" t="s">
        <x:v>252</x:v>
      </x:c>
      <x:c r="B2" s="2" t="s">
        <x:v>273</x:v>
      </x:c>
      <x:c r="C2" s="2" t="s">
        <x:v>274</x:v>
      </x:c>
      <x:c r="D2" s="7">
        <x:v>0.4846662850790871</x:v>
      </x:c>
      <x:c r="E2" s="7">
        <x:v>0.1050059989111248</x:v>
      </x:c>
      <x:c r="F2" s="6">
        <x:v>2</x:v>
      </x:c>
    </x:row>
    <x:row r="3">
      <x:c r="A3" s="2" t="s">
        <x:v>258</x:v>
      </x:c>
      <x:c r="B3" s="2" t="s">
        <x:v>275</x:v>
      </x:c>
      <x:c r="C3" s="2" t="s">
        <x:v>276</x:v>
      </x:c>
      <x:c r="D3" s="7">
        <x:v>0.89427553164886231</x:v>
      </x:c>
      <x:c r="E3" s="7">
        <x:v>0.31095740776089698</x:v>
      </x:c>
      <x:c r="F3" s="6">
        <x:v>2</x:v>
      </x:c>
    </x:row>
    <x:row r="4">
      <x:c r="A4" s="2" t="s">
        <x:v>254</x:v>
      </x:c>
      <x:c r="B4" s="2" t="s">
        <x:v>277</x:v>
      </x:c>
      <x:c r="C4" s="2" t="s">
        <x:v>278</x:v>
      </x:c>
      <x:c r="D4" s="7">
        <x:v>0.86901225145581606</x:v>
      </x:c>
      <x:c r="E4" s="7">
        <x:v>0.1206314850974996</x:v>
      </x:c>
      <x:c r="F4" s="6">
        <x:v>3</x:v>
      </x:c>
    </x:row>
    <x:row r="5">
      <x:c r="A5" s="2" t="s">
        <x:v>228</x:v>
      </x:c>
      <x:c r="B5" s="2" t="s">
        <x:v>279</x:v>
      </x:c>
      <x:c r="C5" s="2" t="s">
        <x:v>280</x:v>
      </x:c>
      <x:c r="D5" s="7">
        <x:v>0.9040698220741068</x:v>
      </x:c>
      <x:c r="E5" s="7">
        <x:v>0.1934369725973463</x:v>
      </x:c>
      <x:c r="F5" s="6">
        <x:v>3</x:v>
      </x:c>
    </x:row>
    <x:row r="6">
      <x:c r="A6" s="2" t="s">
        <x:v>229</x:v>
      </x:c>
      <x:c r="B6" s="2" t="s">
        <x:v>281</x:v>
      </x:c>
      <x:c r="C6" s="2" t="s">
        <x:v>282</x:v>
      </x:c>
      <x:c r="D6" s="7">
        <x:v>0.97115318372785187</x:v>
      </x:c>
      <x:c r="E6" s="7">
        <x:v>0.40034694707913449</x:v>
      </x:c>
      <x:c r="F6" s="6">
        <x:v>2</x:v>
      </x:c>
    </x:row>
    <x:row r="7">
      <x:c r="A7" s="2" t="s">
        <x:v>234</x:v>
      </x:c>
      <x:c r="B7" s="2" t="s">
        <x:v>283</x:v>
      </x:c>
      <x:c r="C7" s="2" t="s">
        <x:v>284</x:v>
      </x:c>
      <x:c r="D7" s="7">
        <x:v>0.90357022665738529</x:v>
      </x:c>
      <x:c r="E7" s="7">
        <x:v>0.16459892573730439</x:v>
      </x:c>
      <x:c r="F7" s="6">
        <x:v>3</x:v>
      </x:c>
    </x:row>
    <x:row r="8">
      <x:c r="A8" s="2" t="s">
        <x:v>248</x:v>
      </x:c>
      <x:c r="B8" s="2" t="s">
        <x:v>285</x:v>
      </x:c>
      <x:c r="C8" s="2" t="s">
        <x:v>286</x:v>
      </x:c>
      <x:c r="D8" s="7">
        <x:v>0.89395069004484018</x:v>
      </x:c>
      <x:c r="E8" s="7">
        <x:v>0.20840273858252761</x:v>
      </x:c>
      <x:c r="F8" s="6">
        <x:v>3</x:v>
      </x:c>
    </x:row>
    <x:row r="9">
      <x:c r="A9" s="2" t="s">
        <x:v>255</x:v>
      </x:c>
      <x:c r="B9" s="2" t="s">
        <x:v>287</x:v>
      </x:c>
      <x:c r="C9" s="2" t="s">
        <x:v>288</x:v>
      </x:c>
      <x:c r="D9" s="7">
        <x:v>0.86231255646464466</x:v>
      </x:c>
      <x:c r="E9" s="7">
        <x:v>0.1015986074236291</x:v>
      </x:c>
      <x:c r="F9" s="6">
        <x:v>3</x:v>
      </x:c>
    </x:row>
    <x:row r="10">
      <x:c r="A10" s="2" t="s">
        <x:v>262</x:v>
      </x:c>
      <x:c r="B10" s="2" t="s">
        <x:v>289</x:v>
      </x:c>
      <x:c r="C10" s="2" t="s">
        <x:v>290</x:v>
      </x:c>
      <x:c r="D10" s="7">
        <x:v>0.50858556987269099</x:v>
      </x:c>
      <x:c r="E10" s="7">
        <x:v>0.1128945637593463</x:v>
      </x:c>
      <x:c r="F10" s="6">
        <x:v>2</x:v>
      </x:c>
    </x:row>
    <x:row r="11">
      <x:c r="A11" s="2" t="s">
        <x:v>259</x:v>
      </x:c>
      <x:c r="B11" s="2" t="s">
        <x:v>291</x:v>
      </x:c>
      <x:c r="C11" s="2" t="s">
        <x:v>292</x:v>
      </x:c>
      <x:c r="D11" s="7">
        <x:v>0.97983888022141796</x:v>
      </x:c>
      <x:c r="E11" s="7">
        <x:v>0.41660514308737151</x:v>
      </x:c>
      <x:c r="F11" s="6">
        <x:v>2</x:v>
      </x:c>
    </x:row>
    <x:row r="12">
      <x:c r="A12" s="2" t="s">
        <x:v>264</x:v>
      </x:c>
      <x:c r="B12" s="2" t="s">
        <x:v>293</x:v>
      </x:c>
      <x:c r="C12" s="2" t="s">
        <x:v>294</x:v>
      </x:c>
      <x:c r="D12" s="7">
        <x:v>0.98976902545434509</x:v>
      </x:c>
      <x:c r="E12" s="7">
        <x:v>0.44052398894364958</x:v>
      </x:c>
      <x:c r="F12" s="6">
        <x:v>2</x:v>
      </x:c>
    </x:row>
    <x:row r="13">
      <x:c r="A13" s="2" t="s">
        <x:v>237</x:v>
      </x:c>
      <x:c r="B13" s="2" t="s">
        <x:v>295</x:v>
      </x:c>
      <x:c r="C13" s="2" t="s">
        <x:v>296</x:v>
      </x:c>
      <x:c r="D13" s="7">
        <x:v>0.92807107485242146</x:v>
      </x:c>
      <x:c r="E13" s="7">
        <x:v>0.18059908445032691</x:v>
      </x:c>
      <x:c r="F13" s="6">
        <x:v>3</x:v>
      </x:c>
    </x:row>
    <x:row r="14">
      <x:c r="A14" s="2" t="s">
        <x:v>243</x:v>
      </x:c>
      <x:c r="B14" s="2" t="s">
        <x:v>297</x:v>
      </x:c>
      <x:c r="C14" s="2" t="s">
        <x:v>298</x:v>
      </x:c>
      <x:c r="D14" s="7">
        <x:v>0.88829958391550012</x:v>
      </x:c>
      <x:c r="E14" s="7">
        <x:v>0.20324124292764459</x:v>
      </x:c>
      <x:c r="F14" s="6">
        <x:v>3</x:v>
      </x:c>
    </x:row>
    <x:row r="15">
      <x:c r="A15" s="2" t="s">
        <x:v>241</x:v>
      </x:c>
      <x:c r="B15" s="2" t="s">
        <x:v>299</x:v>
      </x:c>
      <x:c r="C15" s="2" t="s">
        <x:v>300</x:v>
      </x:c>
      <x:c r="D15" s="7">
        <x:v>0.93814193990349359</x:v>
      </x:c>
      <x:c r="E15" s="7">
        <x:v>0.17365571940172589</x:v>
      </x:c>
      <x:c r="F15" s="6">
        <x:v>3</x:v>
      </x:c>
    </x:row>
    <x:row r="16">
      <x:c r="A16" s="2" t="s">
        <x:v>263</x:v>
      </x:c>
      <x:c r="B16" s="2" t="s">
        <x:v>301</x:v>
      </x:c>
      <x:c r="C16" s="2" t="s">
        <x:v>302</x:v>
      </x:c>
      <x:c r="D16" s="7">
        <x:v>0.72439013384352757</x:v>
      </x:c>
      <x:c r="E16" s="7">
        <x:v>0.110106987571351</x:v>
      </x:c>
      <x:c r="F16" s="6">
        <x:v>3</x:v>
      </x:c>
    </x:row>
    <x:row r="17">
      <x:c r="A17" s="2" t="s">
        <x:v>250</x:v>
      </x:c>
      <x:c r="B17" s="2" t="s">
        <x:v>303</x:v>
      </x:c>
      <x:c r="C17" s="2" t="s">
        <x:v>304</x:v>
      </x:c>
      <x:c r="D17" s="7">
        <x:v>0.84593762252470761</x:v>
      </x:c>
      <x:c r="E17" s="7">
        <x:v>0.13377290957852861</x:v>
      </x:c>
      <x:c r="F17" s="6">
        <x:v>3</x:v>
      </x:c>
    </x:row>
    <x:row r="18">
      <x:c r="A18" s="2" t="s">
        <x:v>261</x:v>
      </x:c>
      <x:c r="B18" s="2" t="s">
        <x:v>305</x:v>
      </x:c>
      <x:c r="C18" s="2" t="s">
        <x:v>306</x:v>
      </x:c>
      <x:c r="D18" s="7">
        <x:v>0.95559494216810947</x:v>
      </x:c>
      <x:c r="E18" s="7">
        <x:v>0.37658579266181941</x:v>
      </x:c>
      <x:c r="F18" s="6">
        <x:v>2</x:v>
      </x:c>
    </x:row>
    <x:row r="19">
      <x:c r="A19" s="2" t="s">
        <x:v>260</x:v>
      </x:c>
      <x:c r="B19" s="2" t="s">
        <x:v>307</x:v>
      </x:c>
      <x:c r="C19" s="2" t="s">
        <x:v>308</x:v>
      </x:c>
      <x:c r="D19" s="7">
        <x:v>0.94718044801481582</x:v>
      </x:c>
      <x:c r="E19" s="7">
        <x:v>0.36553311295901958</x:v>
      </x:c>
      <x:c r="F19" s="6">
        <x:v>2</x:v>
      </x:c>
    </x:row>
    <x:row r="20">
      <x:c r="A20" s="2" t="s">
        <x:v>236</x:v>
      </x:c>
      <x:c r="B20" s="2" t="s">
        <x:v>309</x:v>
      </x:c>
      <x:c r="C20" s="2" t="s">
        <x:v>310</x:v>
      </x:c>
      <x:c r="D20" s="7">
        <x:v>0.95604089370370571</x:v>
      </x:c>
      <x:c r="E20" s="7">
        <x:v>0.37720062367712259</x:v>
      </x:c>
      <x:c r="F20" s="6">
        <x:v>2</x:v>
      </x:c>
    </x:row>
    <x:row r="21">
      <x:c r="A21" s="2" t="s">
        <x:v>245</x:v>
      </x:c>
      <x:c r="B21" s="2" t="s">
        <x:v>311</x:v>
      </x:c>
      <x:c r="C21" s="2" t="s">
        <x:v>312</x:v>
      </x:c>
      <x:c r="D21" s="7">
        <x:v>0.97158999068401974</x:v>
      </x:c>
      <x:c r="E21" s="7">
        <x:v>0.24036692242480129</x:v>
      </x:c>
      <x:c r="F21" s="6">
        <x:v>3</x:v>
      </x:c>
    </x:row>
    <x:row r="22">
      <x:c r="A22" s="2" t="s">
        <x:v>238</x:v>
      </x:c>
      <x:c r="B22" s="2" t="s">
        <x:v>313</x:v>
      </x:c>
      <x:c r="C22" s="2" t="s">
        <x:v>314</x:v>
      </x:c>
      <x:c r="D22" s="7">
        <x:v>0.74912368721907852</x:v>
      </x:c>
      <x:c r="E22" s="7">
        <x:v>0.21403428356742121</x:v>
      </x:c>
      <x:c r="F22" s="6">
        <x:v>2</x:v>
      </x:c>
    </x:row>
    <x:row r="23">
      <x:c r="A23" s="2" t="s">
        <x:v>246</x:v>
      </x:c>
      <x:c r="B23" s="2" t="s">
        <x:v>315</x:v>
      </x:c>
      <x:c r="C23" s="2" t="s">
        <x:v>316</x:v>
      </x:c>
      <x:c r="D23" s="7">
        <x:v>0.89726216005124315</x:v>
      </x:c>
      <x:c r="E23" s="7">
        <x:v>0.16075021677345741</x:v>
      </x:c>
      <x:c r="F23" s="6">
        <x:v>3</x:v>
      </x:c>
    </x:row>
    <x:row r="24">
      <x:c r="A24" s="2" t="s">
        <x:v>239</x:v>
      </x:c>
      <x:c r="B24" s="2" t="s">
        <x:v>317</x:v>
      </x:c>
      <x:c r="C24" s="2" t="s">
        <x:v>318</x:v>
      </x:c>
      <x:c r="D24" s="7">
        <x:v>0.76050808786360147</x:v>
      </x:c>
      <x:c r="E24" s="7">
        <x:v>0.1211219109889939</x:v>
      </x:c>
      <x:c r="F24" s="6">
        <x:v>3</x:v>
      </x:c>
    </x:row>
    <x:row r="25">
      <x:c r="A25" s="2" t="s">
        <x:v>230</x:v>
      </x:c>
      <x:c r="B25" s="2" t="s">
        <x:v>319</x:v>
      </x:c>
      <x:c r="C25" s="2" t="s">
        <x:v>320</x:v>
      </x:c>
      <x:c r="D25" s="7">
        <x:v>0.87371889778169709</x:v>
      </x:c>
      <x:c r="E25" s="7">
        <x:v>0.12418662144509721</x:v>
      </x:c>
      <x:c r="F25" s="6">
        <x:v>3</x:v>
      </x:c>
    </x:row>
    <x:row r="26">
      <x:c r="A26" s="2" t="s">
        <x:v>256</x:v>
      </x:c>
      <x:c r="B26" s="2" t="s">
        <x:v>321</x:v>
      </x:c>
      <x:c r="C26" s="2" t="s">
        <x:v>322</x:v>
      </x:c>
      <x:c r="D26" s="7">
        <x:v>0.5168868979570489</x:v>
      </x:c>
      <x:c r="E26" s="7">
        <x:v>0.11570473099680351</x:v>
      </x:c>
      <x:c r="F26" s="6">
        <x:v>2</x:v>
      </x:c>
    </x:row>
    <x:row r="27">
      <x:c r="A27" s="2" t="s">
        <x:v>247</x:v>
      </x:c>
      <x:c r="B27" s="2" t="s">
        <x:v>323</x:v>
      </x:c>
      <x:c r="C27" s="2" t="s">
        <x:v>324</x:v>
      </x:c>
      <x:c r="D27" s="7">
        <x:v>0.97050908413358949</x:v>
      </x:c>
      <x:c r="E27" s="7">
        <x:v>0.39924813829452971</x:v>
      </x:c>
      <x:c r="F27" s="6">
        <x:v>2</x:v>
      </x:c>
    </x:row>
    <x:row r="28">
      <x:c r="A28" s="2" t="s">
        <x:v>242</x:v>
      </x:c>
      <x:c r="B28" s="2" t="s">
        <x:v>325</x:v>
      </x:c>
      <x:c r="C28" s="2" t="s">
        <x:v>326</x:v>
      </x:c>
      <x:c r="D28" s="7">
        <x:v>0.83865503643076156</x:v>
      </x:c>
      <x:c r="E28" s="7">
        <x:v>0.1433441156064591</x:v>
      </x:c>
      <x:c r="F28" s="6">
        <x:v>3</x:v>
      </x:c>
    </x:row>
    <x:row r="29">
      <x:c r="A29" s="2" t="s">
        <x:v>226</x:v>
      </x:c>
      <x:c r="B29" s="2" t="s">
        <x:v>281</x:v>
      </x:c>
      <x:c r="C29" s="2" t="s">
        <x:v>327</x:v>
      </x:c>
      <x:c r="D29" s="7">
        <x:v>0.99585938088086412</x:v>
      </x:c>
      <x:c r="E29" s="7">
        <x:v>0.46213635206116183</x:v>
      </x:c>
      <x:c r="F29" s="6">
        <x:v>2</x:v>
      </x:c>
    </x:row>
    <x:row r="30">
      <x:c r="A30" s="2" t="s">
        <x:v>266</x:v>
      </x:c>
      <x:c r="B30" s="2" t="s">
        <x:v>328</x:v>
      </x:c>
      <x:c r="C30" s="2" t="s">
        <x:v>329</x:v>
      </x:c>
      <x:c r="D30" s="7">
        <x:v>0.73694419127062949</x:v>
      </x:c>
      <x:c r="E30" s="7">
        <x:v>0.1140518088745521</x:v>
      </x:c>
      <x:c r="F30" s="6">
        <x:v>3</x:v>
      </x:c>
    </x:row>
    <x:row r="31">
      <x:c r="A31" s="2" t="s">
        <x:v>235</x:v>
      </x:c>
      <x:c r="B31" s="2" t="s">
        <x:v>330</x:v>
      </x:c>
      <x:c r="C31" s="2" t="s">
        <x:v>331</x:v>
      </x:c>
      <x:c r="D31" s="7">
        <x:v>0.99599048730009698</x:v>
      </x:c>
      <x:c r="E31" s="7">
        <x:v>0.30119074822073649</x:v>
      </x:c>
      <x:c r="F31" s="6">
        <x:v>3</x:v>
      </x:c>
    </x:row>
    <x:row r="32">
      <x:c r="A32" s="2" t="s">
        <x:v>267</x:v>
      </x:c>
      <x:c r="B32" s="2" t="s">
        <x:v>332</x:v>
      </x:c>
      <x:c r="C32" s="2" t="s">
        <x:v>333</x:v>
      </x:c>
      <x:c r="D32" s="7">
        <x:v>0.70150166090926647</x:v>
      </x:c>
      <x:c r="E32" s="7">
        <x:v>0.1900144374385207</x:v>
      </x:c>
      <x:c r="F32" s="6">
        <x:v>2</x:v>
      </x:c>
    </x:row>
    <x:row r="33">
      <x:c r="A33" s="2" t="s">
        <x:v>265</x:v>
      </x:c>
      <x:c r="B33" s="2" t="s">
        <x:v>334</x:v>
      </x:c>
      <x:c r="C33" s="2" t="s">
        <x:v>335</x:v>
      </x:c>
      <x:c r="D33" s="7">
        <x:v>0.83431757287492059</x:v>
      </x:c>
      <x:c r="E33" s="7">
        <x:v>0.12557950116827801</x:v>
      </x:c>
      <x:c r="F33" s="6">
        <x:v>3</x:v>
      </x:c>
    </x:row>
    <x:row r="34">
      <x:c r="A34" s="2" t="s">
        <x:v>240</x:v>
      </x:c>
      <x:c r="B34" s="2" t="s">
        <x:v>336</x:v>
      </x:c>
      <x:c r="C34" s="2" t="s">
        <x:v>337</x:v>
      </x:c>
      <x:c r="D34" s="7">
        <x:v>0.96054132991677199</x:v>
      </x:c>
      <x:c r="E34" s="7">
        <x:v>0.38359469837736471</x:v>
      </x:c>
      <x:c r="F34" s="6">
        <x:v>2</x:v>
      </x:c>
    </x:row>
    <x:row r="35">
      <x:c r="A35" s="2" t="s">
        <x:v>249</x:v>
      </x:c>
      <x:c r="B35" s="2" t="s">
        <x:v>338</x:v>
      </x:c>
      <x:c r="C35" s="2" t="s">
        <x:v>339</x:v>
      </x:c>
      <x:c r="D35" s="7">
        <x:v>0.99823471751105786</x:v>
      </x:c>
      <x:c r="E35" s="7">
        <x:v>0.47527044852312172</x:v>
      </x:c>
      <x:c r="F35" s="6">
        <x:v>2</x:v>
      </x:c>
    </x:row>
    <x:row r="36">
      <x:c r="A36" s="2" t="s">
        <x:v>251</x:v>
      </x:c>
      <x:c r="B36" s="2" t="s">
        <x:v>340</x:v>
      </x:c>
      <x:c r="C36" s="2" t="s">
        <x:v>341</x:v>
      </x:c>
      <x:c r="D36" s="7">
        <x:v>0.7878717189075447</x:v>
      </x:c>
      <x:c r="E36" s="7">
        <x:v>0.1211477367664298</x:v>
      </x:c>
      <x:c r="F36" s="6">
        <x:v>3</x:v>
      </x:c>
    </x:row>
    <x:row r="37">
      <x:c r="A37" s="2" t="s">
        <x:v>253</x:v>
      </x:c>
      <x:c r="B37" s="2" t="s">
        <x:v>342</x:v>
      </x:c>
      <x:c r="C37" s="2" t="s">
        <x:v>343</x:v>
      </x:c>
      <x:c r="D37" s="7">
        <x:v>0.86733321084310744</x:v>
      </x:c>
      <x:c r="E37" s="7">
        <x:v>0.19494892472234771</x:v>
      </x:c>
      <x:c r="F37" s="6">
        <x:v>3</x:v>
      </x:c>
    </x:row>
    <x:row r="38">
      <x:c r="A38" s="2" t="s">
        <x:v>244</x:v>
      </x:c>
      <x:c r="B38" s="2" t="s">
        <x:v>344</x:v>
      </x:c>
      <x:c r="C38" s="2" t="s">
        <x:v>345</x:v>
      </x:c>
      <x:c r="D38" s="7">
        <x:v>0.85713984605519244</x:v>
      </x:c>
      <x:c r="E38" s="7">
        <x:v>0.28124365322481149</x:v>
      </x:c>
      <x:c r="F38" s="6">
        <x:v>2</x:v>
      </x:c>
    </x:row>
    <x:row r="39">
      <x:c r="A39" s="2" t="s">
        <x:v>257</x:v>
      </x:c>
      <x:c r="B39" s="2" t="s">
        <x:v>346</x:v>
      </x:c>
      <x:c r="C39" s="2" t="s">
        <x:v>347</x:v>
      </x:c>
      <x:c r="D39" s="7">
        <x:v>0.61027859714858235</x:v>
      </x:c>
      <x:c r="E39" s="7">
        <x:v>0.1501752111888702</x:v>
      </x:c>
      <x:c r="F39" s="6">
        <x:v>2</x:v>
      </x:c>
    </x:row>
    <x:row r="40">
      <x:c r="A40" s="2" t="s">
        <x:v>232</x:v>
      </x:c>
      <x:c r="B40" s="2" t="s">
        <x:v>348</x:v>
      </x:c>
      <x:c r="C40" s="2" t="s">
        <x:v>349</x:v>
      </x:c>
      <x:c r="D40" s="7">
        <x:v>0.90398528110172627</x:v>
      </x:c>
      <x:c r="E40" s="7">
        <x:v>0.15788940381963809</x:v>
      </x:c>
      <x:c r="F40" s="6">
        <x:v>3</x:v>
      </x:c>
    </x:row>
    <x:row r="41">
      <x:c r="A41" s="2" t="s">
        <x:v>233</x:v>
      </x:c>
      <x:c r="B41" s="2" t="s">
        <x:v>350</x:v>
      </x:c>
      <x:c r="C41" s="2" t="s">
        <x:v>351</x:v>
      </x:c>
      <x:c r="D41" s="7">
        <x:v>0.80266363865286106</x:v>
      </x:c>
      <x:c r="E41" s="7">
        <x:v>0.1052957423264728</x:v>
      </x:c>
      <x:c r="F41" s="6">
        <x:v>3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4.399999618530273"/>
  <x:cols>
    <x:col min="1" max="1" width="11" customWidth="1"/>
    <x:col min="2" max="2" width="22" customWidth="1"/>
    <x:col min="3" max="4" width="20" customWidth="1"/>
    <x:col min="5" max="5" width="11" customWidth="1"/>
  </x:cols>
  <x:sheetData>
    <x:row r="1">
      <x:c r="A1" s="5" t="s">
        <x:v>74</x:v>
      </x:c>
      <x:c r="B1" s="5" t="s">
        <x:v>225</x:v>
      </x:c>
      <x:c r="C1" s="5" t="s">
        <x:v>270</x:v>
      </x:c>
      <x:c r="D1" s="5" t="s">
        <x:v>271</x:v>
      </x:c>
      <x:c r="E1" s="5" t="s">
        <x:v>272</x:v>
      </x:c>
    </x:row>
    <x:row r="2">
      <x:c r="A2" s="2" t="s">
        <x:v>226</x:v>
      </x:c>
      <x:c r="B2" s="7">
        <x:v>3.9798134853256149</x:v>
      </x:c>
      <x:c r="C2" s="7">
        <x:v>0.99585938088086412</x:v>
      </x:c>
      <x:c r="D2" s="7">
        <x:v>0.46213635206116183</x:v>
      </x:c>
      <x:c r="E2" s="6">
        <x:v>2</x:v>
      </x:c>
    </x:row>
    <x:row r="3">
      <x:c r="A3" s="2" t="s">
        <x:v>228</x:v>
      </x:c>
      <x:c r="B3" s="7">
        <x:v>3.8660960974825662</x:v>
      </x:c>
      <x:c r="C3" s="7">
        <x:v>0.9040698220741068</x:v>
      </x:c>
      <x:c r="D3" s="7">
        <x:v>0.1934369725973463</x:v>
      </x:c>
      <x:c r="E3" s="6">
        <x:v>3</x:v>
      </x:c>
    </x:row>
    <x:row r="4">
      <x:c r="A4" s="2" t="s">
        <x:v>229</x:v>
      </x:c>
      <x:c r="B4" s="7">
        <x:v>3.790419494190822</x:v>
      </x:c>
      <x:c r="C4" s="7">
        <x:v>0.97115318372785187</x:v>
      </x:c>
      <x:c r="D4" s="7">
        <x:v>0.40034694707913449</x:v>
      </x:c>
      <x:c r="E4" s="6">
        <x:v>2</x:v>
      </x:c>
    </x:row>
    <x:row r="5">
      <x:c r="A5" s="2" t="s">
        <x:v>230</x:v>
      </x:c>
      <x:c r="B5" s="7">
        <x:v>2.9086275808561282</x:v>
      </x:c>
      <x:c r="C5" s="7">
        <x:v>0.87371889778169709</x:v>
      </x:c>
      <x:c r="D5" s="7">
        <x:v>0.12418662144509721</x:v>
      </x:c>
      <x:c r="E5" s="6">
        <x:v>3</x:v>
      </x:c>
    </x:row>
    <x:row r="6">
      <x:c r="A6" s="2" t="s">
        <x:v>232</x:v>
      </x:c>
      <x:c r="B6" s="7">
        <x:v>2.399631229681372</x:v>
      </x:c>
      <x:c r="C6" s="7">
        <x:v>0.90398528110172627</x:v>
      </x:c>
      <x:c r="D6" s="7">
        <x:v>0.15788940381963809</x:v>
      </x:c>
      <x:c r="E6" s="6">
        <x:v>3</x:v>
      </x:c>
    </x:row>
    <x:row r="7">
      <x:c r="A7" s="2" t="s">
        <x:v>233</x:v>
      </x:c>
      <x:c r="B7" s="7">
        <x:v>2.0161447013171458</x:v>
      </x:c>
      <x:c r="C7" s="7">
        <x:v>0.80266363865286106</x:v>
      </x:c>
      <x:c r="D7" s="7">
        <x:v>0.1052957423264728</x:v>
      </x:c>
      <x:c r="E7" s="6">
        <x:v>3</x:v>
      </x:c>
    </x:row>
    <x:row r="8">
      <x:c r="A8" s="2" t="s">
        <x:v>234</x:v>
      </x:c>
      <x:c r="B8" s="7">
        <x:v>1.6010808033973301</x:v>
      </x:c>
      <x:c r="C8" s="7">
        <x:v>0.90357022665738529</x:v>
      </x:c>
      <x:c r="D8" s="7">
        <x:v>0.16459892573730439</x:v>
      </x:c>
      <x:c r="E8" s="6">
        <x:v>3</x:v>
      </x:c>
    </x:row>
    <x:row r="9">
      <x:c r="A9" s="2" t="s">
        <x:v>235</x:v>
      </x:c>
      <x:c r="B9" s="7">
        <x:v>1.477524233949564</x:v>
      </x:c>
      <x:c r="C9" s="7">
        <x:v>0.99599048730009698</x:v>
      </x:c>
      <x:c r="D9" s="7">
        <x:v>0.30119074822073649</x:v>
      </x:c>
      <x:c r="E9" s="6">
        <x:v>3</x:v>
      </x:c>
    </x:row>
    <x:row r="10">
      <x:c r="A10" s="2" t="s">
        <x:v>236</x:v>
      </x:c>
      <x:c r="B10" s="7">
        <x:v>1.4525542344712721</x:v>
      </x:c>
      <x:c r="C10" s="7">
        <x:v>0.95604089370370571</x:v>
      </x:c>
      <x:c r="D10" s="7">
        <x:v>0.37720062367712259</x:v>
      </x:c>
      <x:c r="E10" s="6">
        <x:v>2</x:v>
      </x:c>
    </x:row>
    <x:row r="11">
      <x:c r="A11" s="2" t="s">
        <x:v>237</x:v>
      </x:c>
      <x:c r="B11" s="7">
        <x:v>1.079564174148619</x:v>
      </x:c>
      <x:c r="C11" s="7">
        <x:v>0.92807107485242146</x:v>
      </x:c>
      <x:c r="D11" s="7">
        <x:v>0.18059908445032691</x:v>
      </x:c>
      <x:c r="E11" s="6">
        <x:v>3</x:v>
      </x:c>
    </x:row>
    <x:row r="12">
      <x:c r="A12" s="2" t="s">
        <x:v>238</x:v>
      </x:c>
      <x:c r="B12" s="7">
        <x:v>0.89085333664185651</x:v>
      </x:c>
      <x:c r="C12" s="7">
        <x:v>0.74912368721907852</x:v>
      </x:c>
      <x:c r="D12" s="7">
        <x:v>0.21403428356742121</x:v>
      </x:c>
      <x:c r="E12" s="6">
        <x:v>2</x:v>
      </x:c>
    </x:row>
    <x:row r="13">
      <x:c r="A13" s="2" t="s">
        <x:v>239</x:v>
      </x:c>
      <x:c r="B13" s="7">
        <x:v>0.67007249708293692</x:v>
      </x:c>
      <x:c r="C13" s="7">
        <x:v>0.76050808786360147</x:v>
      </x:c>
      <x:c r="D13" s="7">
        <x:v>0.1211219109889939</x:v>
      </x:c>
      <x:c r="E13" s="6">
        <x:v>3</x:v>
      </x:c>
    </x:row>
    <x:row r="14">
      <x:c r="A14" s="2" t="s">
        <x:v>240</x:v>
      </x:c>
      <x:c r="B14" s="7">
        <x:v>0.63043659883151637</x:v>
      </x:c>
      <x:c r="C14" s="7">
        <x:v>0.96054132991677199</x:v>
      </x:c>
      <x:c r="D14" s="7">
        <x:v>0.38359469837736471</x:v>
      </x:c>
      <x:c r="E14" s="6">
        <x:v>2</x:v>
      </x:c>
    </x:row>
    <x:row r="15">
      <x:c r="A15" s="2" t="s">
        <x:v>241</x:v>
      </x:c>
      <x:c r="B15" s="7">
        <x:v>0.57125097660189383</x:v>
      </x:c>
      <x:c r="C15" s="7">
        <x:v>0.93814193990349359</x:v>
      </x:c>
      <x:c r="D15" s="7">
        <x:v>0.17365571940172589</x:v>
      </x:c>
      <x:c r="E15" s="6">
        <x:v>3</x:v>
      </x:c>
    </x:row>
    <x:row r="16">
      <x:c r="A16" s="2" t="s">
        <x:v>242</x:v>
      </x:c>
      <x:c r="B16" s="7">
        <x:v>0.40657432409919758</x:v>
      </x:c>
      <x:c r="C16" s="7">
        <x:v>0.83865503643076156</x:v>
      </x:c>
      <x:c r="D16" s="7">
        <x:v>0.1433441156064591</x:v>
      </x:c>
      <x:c r="E16" s="6">
        <x:v>3</x:v>
      </x:c>
    </x:row>
    <x:row r="17">
      <x:c r="A17" s="2" t="s">
        <x:v>243</x:v>
      </x:c>
      <x:c r="B17" s="7">
        <x:v>0.29899711434562898</x:v>
      </x:c>
      <x:c r="C17" s="7">
        <x:v>0.88829958391550012</x:v>
      </x:c>
      <x:c r="D17" s="7">
        <x:v>0.20324124292764459</x:v>
      </x:c>
      <x:c r="E17" s="6">
        <x:v>3</x:v>
      </x:c>
    </x:row>
    <x:row r="18">
      <x:c r="A18" s="2" t="s">
        <x:v>244</x:v>
      </x:c>
      <x:c r="B18" s="7">
        <x:v>0.29768462265299828</x:v>
      </x:c>
      <x:c r="C18" s="7">
        <x:v>0.85713984605519244</x:v>
      </x:c>
      <x:c r="D18" s="7">
        <x:v>0.28124365322481149</x:v>
      </x:c>
      <x:c r="E18" s="6">
        <x:v>2</x:v>
      </x:c>
    </x:row>
    <x:row r="19">
      <x:c r="A19" s="2" t="s">
        <x:v>245</x:v>
      </x:c>
      <x:c r="B19" s="7">
        <x:v>0.25164861656193088</x:v>
      </x:c>
      <x:c r="C19" s="7">
        <x:v>0.97158999068401974</x:v>
      </x:c>
      <x:c r="D19" s="7">
        <x:v>0.24036692242480129</x:v>
      </x:c>
      <x:c r="E19" s="6">
        <x:v>3</x:v>
      </x:c>
    </x:row>
    <x:row r="20">
      <x:c r="A20" s="2" t="s">
        <x:v>246</x:v>
      </x:c>
      <x:c r="B20" s="7">
        <x:v>-7.9161529859356788E-2</x:v>
      </x:c>
      <x:c r="C20" s="7">
        <x:v>0.89726216005124315</x:v>
      </x:c>
      <x:c r="D20" s="7">
        <x:v>0.16075021677345741</x:v>
      </x:c>
      <x:c r="E20" s="6">
        <x:v>3</x:v>
      </x:c>
    </x:row>
    <x:row r="21">
      <x:c r="A21" s="2" t="s">
        <x:v>247</x:v>
      </x:c>
      <x:c r="B21" s="7">
        <x:v>-0.25734773461282501</x:v>
      </x:c>
      <x:c r="C21" s="7">
        <x:v>0.97050908413358949</x:v>
      </x:c>
      <x:c r="D21" s="7">
        <x:v>0.39924813829452971</x:v>
      </x:c>
      <x:c r="E21" s="6">
        <x:v>2</x:v>
      </x:c>
    </x:row>
    <x:row r="22">
      <x:c r="A22" s="2" t="s">
        <x:v>248</x:v>
      </x:c>
      <x:c r="B22" s="7">
        <x:v>-0.38755610351799502</x:v>
      </x:c>
      <x:c r="C22" s="7">
        <x:v>0.89395069004484018</x:v>
      </x:c>
      <x:c r="D22" s="7">
        <x:v>0.20840273858252761</x:v>
      </x:c>
      <x:c r="E22" s="6">
        <x:v>3</x:v>
      </x:c>
    </x:row>
    <x:row r="23">
      <x:c r="A23" s="2" t="s">
        <x:v>249</x:v>
      </x:c>
      <x:c r="B23" s="7">
        <x:v>-0.38755610351799502</x:v>
      </x:c>
      <x:c r="C23" s="7">
        <x:v>0.99823471751105786</x:v>
      </x:c>
      <x:c r="D23" s="7">
        <x:v>0.47527044852312172</x:v>
      </x:c>
      <x:c r="E23" s="6">
        <x:v>2</x:v>
      </x:c>
    </x:row>
    <x:row r="24">
      <x:c r="A24" s="2" t="s">
        <x:v>250</x:v>
      </x:c>
      <x:c r="B24" s="7">
        <x:v>-0.49409022353131588</x:v>
      </x:c>
      <x:c r="C24" s="7">
        <x:v>0.84593762252470761</x:v>
      </x:c>
      <x:c r="D24" s="7">
        <x:v>0.13377290957852861</x:v>
      </x:c>
      <x:c r="E24" s="6">
        <x:v>3</x:v>
      </x:c>
    </x:row>
    <x:row r="25">
      <x:c r="A25" s="2" t="s">
        <x:v>251</x:v>
      </x:c>
      <x:c r="B25" s="7">
        <x:v>-0.58774412935846465</x:v>
      </x:c>
      <x:c r="C25" s="7">
        <x:v>0.7878717189075447</x:v>
      </x:c>
      <x:c r="D25" s="7">
        <x:v>0.1211477367664298</x:v>
      </x:c>
      <x:c r="E25" s="6">
        <x:v>3</x:v>
      </x:c>
    </x:row>
    <x:row r="26">
      <x:c r="A26" s="2" t="s">
        <x:v>252</x:v>
      </x:c>
      <x:c r="B26" s="7">
        <x:v>-0.61246146799056145</x:v>
      </x:c>
      <x:c r="C26" s="7">
        <x:v>0.4846662850790871</x:v>
      </x:c>
      <x:c r="D26" s="7">
        <x:v>0.1050059989111248</x:v>
      </x:c>
      <x:c r="E26" s="6">
        <x:v>2</x:v>
      </x:c>
    </x:row>
    <x:row r="27">
      <x:c r="A27" s="2" t="s">
        <x:v>253</x:v>
      </x:c>
      <x:c r="B27" s="7">
        <x:v>-0.71899558800388252</x:v>
      </x:c>
      <x:c r="C27" s="7">
        <x:v>0.86733321084310744</x:v>
      </x:c>
      <x:c r="D27" s="7">
        <x:v>0.19494892472234771</x:v>
      </x:c>
      <x:c r="E27" s="6">
        <x:v>3</x:v>
      </x:c>
    </x:row>
    <x:row r="28">
      <x:c r="A28" s="2" t="s">
        <x:v>254</x:v>
      </x:c>
      <x:c r="B28" s="7">
        <x:v>-0.73477166139548733</x:v>
      </x:c>
      <x:c r="C28" s="7">
        <x:v>0.86901225145581606</x:v>
      </x:c>
      <x:c r="D28" s="7">
        <x:v>0.1206314850974996</x:v>
      </x:c>
      <x:c r="E28" s="6">
        <x:v>3</x:v>
      </x:c>
    </x:row>
    <x:row r="29">
      <x:c r="A29" s="2" t="s">
        <x:v>255</x:v>
      </x:c>
      <x:c r="B29" s="7">
        <x:v>-0.79001833467942972</x:v>
      </x:c>
      <x:c r="C29" s="7">
        <x:v>0.86231255646464466</x:v>
      </x:c>
      <x:c r="D29" s="7">
        <x:v>0.1015986074236291</x:v>
      </x:c>
      <x:c r="E29" s="6">
        <x:v>3</x:v>
      </x:c>
    </x:row>
    <x:row r="30">
      <x:c r="A30" s="2" t="s">
        <x:v>256</x:v>
      </x:c>
      <x:c r="B30" s="7">
        <x:v>-0.9502860424441486</x:v>
      </x:c>
      <x:c r="C30" s="7">
        <x:v>0.5168868979570489</x:v>
      </x:c>
      <x:c r="D30" s="7">
        <x:v>0.11570473099680351</x:v>
      </x:c>
      <x:c r="E30" s="6">
        <x:v>2</x:v>
      </x:c>
    </x:row>
    <x:row r="31">
      <x:c r="A31" s="2" t="s">
        <x:v>257</x:v>
      </x:c>
      <x:c r="B31" s="7">
        <x:v>-1.003086574706072</x:v>
      </x:c>
      <x:c r="C31" s="7">
        <x:v>0.61027859714858235</x:v>
      </x:c>
      <x:c r="D31" s="7">
        <x:v>0.1501752111888702</x:v>
      </x:c>
      <x:c r="E31" s="6">
        <x:v>2</x:v>
      </x:c>
    </x:row>
    <x:row r="32">
      <x:c r="A32" s="2" t="s">
        <x:v>258</x:v>
      </x:c>
      <x:c r="B32" s="7">
        <x:v>-1.18064344139494</x:v>
      </x:c>
      <x:c r="C32" s="7">
        <x:v>0.89427553164886231</x:v>
      </x:c>
      <x:c r="D32" s="7">
        <x:v>0.31095740776089698</x:v>
      </x:c>
      <x:c r="E32" s="6">
        <x:v>2</x:v>
      </x:c>
    </x:row>
    <x:row r="33">
      <x:c r="A33" s="2" t="s">
        <x:v>259</x:v>
      </x:c>
      <x:c r="B33" s="7">
        <x:v>-1.18064344139494</x:v>
      </x:c>
      <x:c r="C33" s="7">
        <x:v>0.97983888022141796</x:v>
      </x:c>
      <x:c r="D33" s="7">
        <x:v>0.41660514308737151</x:v>
      </x:c>
      <x:c r="E33" s="6">
        <x:v>2</x:v>
      </x:c>
    </x:row>
    <x:row r="34">
      <x:c r="A34" s="2" t="s">
        <x:v>260</x:v>
      </x:c>
      <x:c r="B34" s="7">
        <x:v>-1.18064344139494</x:v>
      </x:c>
      <x:c r="C34" s="7">
        <x:v>0.94718044801481582</x:v>
      </x:c>
      <x:c r="D34" s="7">
        <x:v>0.36553311295901958</x:v>
      </x:c>
      <x:c r="E34" s="6">
        <x:v>2</x:v>
      </x:c>
    </x:row>
    <x:row r="35">
      <x:c r="A35" s="2" t="s">
        <x:v>261</x:v>
      </x:c>
      <x:c r="B35" s="7">
        <x:v>-1.18064344139494</x:v>
      </x:c>
      <x:c r="C35" s="7">
        <x:v>0.95559494216810947</x:v>
      </x:c>
      <x:c r="D35" s="7">
        <x:v>0.37658579266181941</x:v>
      </x:c>
      <x:c r="E35" s="6">
        <x:v>2</x:v>
      </x:c>
    </x:row>
    <x:row r="36">
      <x:c r="A36" s="2" t="s">
        <x:v>262</x:v>
      </x:c>
      <x:c r="B36" s="7">
        <x:v>-1.18064344139494</x:v>
      </x:c>
      <x:c r="C36" s="7">
        <x:v>0.50858556987269099</x:v>
      </x:c>
      <x:c r="D36" s="7">
        <x:v>0.1128945637593463</x:v>
      </x:c>
      <x:c r="E36" s="6">
        <x:v>2</x:v>
      </x:c>
    </x:row>
    <x:row r="37">
      <x:c r="A37" s="2" t="s">
        <x:v>263</x:v>
      </x:c>
      <x:c r="B37" s="7">
        <x:v>-1.18064344139494</x:v>
      </x:c>
      <x:c r="C37" s="7">
        <x:v>0.72439013384352757</x:v>
      </x:c>
      <x:c r="D37" s="7">
        <x:v>0.110106987571351</x:v>
      </x:c>
      <x:c r="E37" s="6">
        <x:v>3</x:v>
      </x:c>
    </x:row>
    <x:row r="38">
      <x:c r="A38" s="2" t="s">
        <x:v>264</x:v>
      </x:c>
      <x:c r="B38" s="7">
        <x:v>-1.18064344139494</x:v>
      </x:c>
      <x:c r="C38" s="7">
        <x:v>0.98976902545434509</x:v>
      </x:c>
      <x:c r="D38" s="7">
        <x:v>0.44052398894364958</x:v>
      </x:c>
      <x:c r="E38" s="6">
        <x:v>2</x:v>
      </x:c>
    </x:row>
    <x:row r="39">
      <x:c r="A39" s="2" t="s">
        <x:v>265</x:v>
      </x:c>
      <x:c r="B39" s="7">
        <x:v>-1.18064344139494</x:v>
      </x:c>
      <x:c r="C39" s="7">
        <x:v>0.83431757287492059</x:v>
      </x:c>
      <x:c r="D39" s="7">
        <x:v>0.12557950116827801</x:v>
      </x:c>
      <x:c r="E39" s="6">
        <x:v>3</x:v>
      </x:c>
    </x:row>
    <x:row r="40">
      <x:c r="A40" s="2" t="s">
        <x:v>266</x:v>
      </x:c>
      <x:c r="B40" s="7">
        <x:v>-1.18064344139494</x:v>
      </x:c>
      <x:c r="C40" s="7">
        <x:v>0.73694419127062949</x:v>
      </x:c>
      <x:c r="D40" s="7">
        <x:v>0.1140518088745521</x:v>
      </x:c>
      <x:c r="E40" s="6">
        <x:v>3</x:v>
      </x:c>
    </x:row>
    <x:row r="41">
      <x:c r="A41" s="2" t="s">
        <x:v>267</x:v>
      </x:c>
      <x:c r="B41" s="7">
        <x:v>-1.18064344139494</x:v>
      </x:c>
      <x:c r="C41" s="7">
        <x:v>0.70150166090926647</x:v>
      </x:c>
      <x:c r="D41" s="7">
        <x:v>0.1900144374385207</x:v>
      </x:c>
      <x:c r="E41" s="6">
        <x:v>2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4.399999618530273"/>
  <x:cols>
    <x:col min="1" max="1" width="13" customWidth="1"/>
    <x:col min="2" max="2" width="11" customWidth="1"/>
    <x:col min="3" max="3" width="22" customWidth="1"/>
    <x:col min="4" max="4" width="21" customWidth="1"/>
    <x:col min="5" max="5" width="23" customWidth="1"/>
  </x:cols>
  <x:sheetData>
    <x:row r="1">
      <x:c r="A1" s="5" t="s">
        <x:v>201</x:v>
      </x:c>
      <x:c r="B1" s="5" t="s">
        <x:v>202</x:v>
      </x:c>
      <x:c r="C1" s="5" t="s">
        <x:v>203</x:v>
      </x:c>
      <x:c r="D1" s="5" t="s">
        <x:v>352</x:v>
      </x:c>
      <x:c r="E1" s="5" t="s">
        <x:v>353</x:v>
      </x:c>
    </x:row>
    <x:row r="2">
      <x:c r="A2" s="2" t="s">
        <x:v>80</x:v>
      </x:c>
      <x:c r="B2" s="2" t="s">
        <x:v>237</x:v>
      </x:c>
      <x:c r="C2" s="7">
        <x:v>7.2540553163321628E-2</x:v>
      </x:c>
      <x:c r="D2" s="7">
        <x:v>0.15337124910503361</x:v>
      </x:c>
      <x:c r="E2" s="7">
        <x:v>0.29935411891936059</x:v>
      </x:c>
    </x:row>
    <x:row r="3">
      <x:c r="A3" s="2" t="s">
        <x:v>80</x:v>
      </x:c>
      <x:c r="B3" s="2" t="s">
        <x:v>248</x:v>
      </x:c>
      <x:c r="C3" s="7">
        <x:v>7.0475309031934733E-2</x:v>
      </x:c>
      <x:c r="D3" s="7">
        <x:v>0.17039153842561919</x:v>
      </x:c>
      <x:c r="E3" s="7">
        <x:v>0.33581938521229782</x:v>
      </x:c>
    </x:row>
    <x:row r="4">
      <x:c r="A4" s="2" t="s">
        <x:v>80</x:v>
      </x:c>
      <x:c r="B4" s="2" t="s">
        <x:v>243</x:v>
      </x:c>
      <x:c r="C4" s="7">
        <x:v>3.7332463738951313E-2</x:v>
      </x:c>
      <x:c r="D4" s="7">
        <x:v>0.60860921792293032</x:v>
      </x:c>
      <x:c r="E4" s="7">
        <x:v>0.16951613964996329</x:v>
      </x:c>
    </x:row>
    <x:row r="5">
      <x:c r="A5" s="2" t="s">
        <x:v>80</x:v>
      </x:c>
      <x:c r="B5" s="2" t="s">
        <x:v>251</x:v>
      </x:c>
      <x:c r="C5" s="7">
        <x:v>7.2346595956567172E-2</x:v>
      </x:c>
      <x:c r="D5" s="7">
        <x:v>0.1549146215391248</x:v>
      </x:c>
      <x:c r="E5" s="7">
        <x:v>0.22768211633712471</x:v>
      </x:c>
    </x:row>
    <x:row r="6">
      <x:c r="A6" s="2" t="s">
        <x:v>83</x:v>
      </x:c>
      <x:c r="B6" s="2" t="s">
        <x:v>233</x:v>
      </x:c>
      <x:c r="C6" s="7">
        <x:v>3.3830987961295168E-2</x:v>
      </x:c>
      <x:c r="D6" s="7">
        <x:v>0.66511370273072634</x:v>
      </x:c>
      <x:c r="E6" s="7">
        <x:v>0.34549438413621941</x:v>
      </x:c>
    </x:row>
    <x:row r="7">
      <x:c r="A7" s="2" t="s">
        <x:v>83</x:v>
      </x:c>
      <x:c r="B7" s="2" t="s">
        <x:v>240</x:v>
      </x:c>
      <x:c r="C7" s="7">
        <x:v>3.965699329982357E-2</x:v>
      </x:c>
      <x:c r="D7" s="7">
        <x:v>0.57101275187969669</x:v>
      </x:c>
      <x:c r="E7" s="7">
        <x:v>0.27260338859458533</x:v>
      </x:c>
    </x:row>
    <x:row r="8">
      <x:c r="A8" s="2" t="s">
        <x:v>83</x:v>
      </x:c>
      <x:c r="B8" s="2" t="s">
        <x:v>254</x:v>
      </x:c>
      <x:c r="C8" s="7">
        <x:v>4.2697937631119037E-2</x:v>
      </x:c>
      <x:c r="D8" s="7">
        <x:v>0.52226812350403884</x:v>
      </x:c>
      <x:c r="E8" s="7">
        <x:v>0.47154390027085658</x:v>
      </x:c>
    </x:row>
    <x:row r="9">
      <x:c r="A9" s="2" t="s">
        <x:v>83</x:v>
      </x:c>
      <x:c r="B9" s="2" t="s">
        <x:v>265</x:v>
      </x:c>
      <x:c r="C9" s="7">
        <x:v>3.585523243056777E-2</x:v>
      </x:c>
      <x:c r="D9" s="7">
        <x:v>0.6325110789720706</x:v>
      </x:c>
      <x:c r="E9" s="7">
        <x:v>0.51020471541723866</x:v>
      </x:c>
    </x:row>
    <x:row r="10">
      <x:c r="A10" s="2" t="s">
        <x:v>86</x:v>
      </x:c>
      <x:c r="B10" s="2" t="s">
        <x:v>242</x:v>
      </x:c>
      <x:c r="C10" s="7">
        <x:v>6.9362084618885683E-2</x:v>
      </x:c>
      <x:c r="D10" s="7">
        <x:v>0.18010935764163019</x:v>
      </x:c>
      <x:c r="E10" s="7">
        <x:v>0.21483724853343139</x:v>
      </x:c>
    </x:row>
    <x:row r="11">
      <x:c r="A11" s="2" t="s">
        <x:v>86</x:v>
      </x:c>
      <x:c r="B11" s="2" t="s">
        <x:v>245</x:v>
      </x:c>
      <x:c r="C11" s="7">
        <x:v>6.1133708199680982E-2</x:v>
      </x:c>
      <x:c r="D11" s="7">
        <x:v>0.26405229280191639</x:v>
      </x:c>
      <x:c r="E11" s="7">
        <x:v>0.16630250414362691</x:v>
      </x:c>
    </x:row>
    <x:row r="12">
      <x:c r="A12" s="2" t="s">
        <x:v>86</x:v>
      </x:c>
      <x:c r="B12" s="2" t="s">
        <x:v>228</x:v>
      </x:c>
      <x:c r="C12" s="7">
        <x:v>7.0745109620385646E-2</x:v>
      </x:c>
      <x:c r="D12" s="7">
        <x:v>0.16809402096039511</x:v>
      </x:c>
      <x:c r="E12" s="7">
        <x:v>0.22892883722708099</x:v>
      </x:c>
    </x:row>
    <x:row r="13">
      <x:c r="A13" s="2" t="s">
        <x:v>86</x:v>
      </x:c>
      <x:c r="B13" s="2" t="s">
        <x:v>234</x:v>
      </x:c>
      <x:c r="C13" s="7">
        <x:v>7.3259174853001333E-2</x:v>
      </x:c>
      <x:c r="D13" s="7">
        <x:v>0.14775126879314249</x:v>
      </x:c>
      <x:c r="E13" s="7">
        <x:v>0.2536880299555806</x:v>
      </x:c>
    </x:row>
    <x:row r="14">
      <x:c r="A14" s="2" t="s">
        <x:v>89</x:v>
      </x:c>
      <x:c r="B14" s="2" t="s">
        <x:v>232</x:v>
      </x:c>
      <x:c r="C14" s="7">
        <x:v>4.1942830302271771E-2</x:v>
      </x:c>
      <x:c r="D14" s="7">
        <x:v>0.53429771939979187</x:v>
      </x:c>
      <x:c r="E14" s="7">
        <x:v>0.47042812856945249</x:v>
      </x:c>
    </x:row>
    <x:row r="15">
      <x:c r="A15" s="2" t="s">
        <x:v>89</x:v>
      </x:c>
      <x:c r="B15" s="2" t="s">
        <x:v>259</x:v>
      </x:c>
      <x:c r="C15" s="7">
        <x:v>4.1224413433389367E-2</x:v>
      </x:c>
      <x:c r="D15" s="7">
        <x:v>0.54579401788244131</x:v>
      </x:c>
      <x:c r="E15" s="7">
        <x:v>0.625</x:v>
      </x:c>
    </x:row>
    <x:row r="16">
      <x:c r="A16" s="2" t="s">
        <x:v>89</x:v>
      </x:c>
      <x:c r="B16" s="2" t="s">
        <x:v>266</x:v>
      </x:c>
      <x:c r="C16" s="7">
        <x:v>2.641633302660136E-2</x:v>
      </x:c>
      <x:c r="D16" s="7">
        <x:v>0.77986557534243439</x:v>
      </x:c>
      <x:c r="E16" s="7">
        <x:v>0.625</x:v>
      </x:c>
    </x:row>
    <x:row r="17">
      <x:c r="A17" s="2" t="s">
        <x:v>89</x:v>
      </x:c>
      <x:c r="B17" s="2" t="s">
        <x:v>267</x:v>
      </x:c>
      <x:c r="C17" s="7">
        <x:v>1.9408396325284231E-2</x:v>
      </x:c>
      <x:c r="D17" s="7">
        <x:v>0.87440388475554243</x:v>
      </x:c>
      <x:c r="E17" s="7">
        <x:v>0.625</x:v>
      </x:c>
    </x:row>
    <x:row r="18">
      <x:c r="A18" s="2" t="s">
        <x:v>92</x:v>
      </x:c>
      <x:c r="B18" s="2" t="s">
        <x:v>239</x:v>
      </x:c>
      <x:c r="C18" s="7">
        <x:v>2.810674834291961E-2</x:v>
      </x:c>
      <x:c r="D18" s="7">
        <x:v>0.75467157386978567</x:v>
      </x:c>
      <x:c r="E18" s="7">
        <x:v>0.37044035945918569</x:v>
      </x:c>
    </x:row>
    <x:row r="19">
      <x:c r="A19" s="2" t="s">
        <x:v>92</x:v>
      </x:c>
      <x:c r="B19" s="2" t="s">
        <x:v>257</x:v>
      </x:c>
      <x:c r="C19" s="7">
        <x:v>1.547138330825169E-2</x:v>
      </x:c>
      <x:c r="D19" s="7">
        <x:v>0.91825043883866009</x:v>
      </x:c>
      <x:c r="E19" s="7">
        <x:v>0.625</x:v>
      </x:c>
    </x:row>
    <x:row r="20">
      <x:c r="A20" s="2" t="s">
        <x:v>92</x:v>
      </x:c>
      <x:c r="B20" s="2" t="s">
        <x:v>256</x:v>
      </x:c>
      <x:c r="C20" s="7">
        <x:v>1.1846348176876079E-2</x:v>
      </x:c>
      <x:c r="D20" s="7">
        <x:v>0.95122789831433319</x:v>
      </x:c>
      <x:c r="E20" s="7">
        <x:v>-3.8912556069747861E-3</x:v>
      </x:c>
    </x:row>
    <x:row r="21">
      <x:c r="A21" s="2" t="s">
        <x:v>92</x:v>
      </x:c>
      <x:c r="B21" s="2" t="s">
        <x:v>246</x:v>
      </x:c>
      <x:c r="C21" s="7">
        <x:v>6.2364801086224421E-2</x:v>
      </x:c>
      <x:c r="D21" s="7">
        <x:v>0.25012882437480333</x:v>
      </x:c>
      <x:c r="E21" s="7">
        <x:v>0.15274954216694039</x:v>
      </x:c>
    </x:row>
    <x:row r="22">
      <x:c r="A22" s="2" t="s">
        <x:v>95</x:v>
      </x:c>
      <x:c r="B22" s="2" t="s">
        <x:v>230</x:v>
      </x:c>
      <x:c r="C22" s="7">
        <x:v>4.1829828593693393E-2</x:v>
      </x:c>
      <x:c r="D22" s="7">
        <x:v>0.53610288980336684</x:v>
      </x:c>
      <x:c r="E22" s="7">
        <x:v>0.43017121228898592</x:v>
      </x:c>
    </x:row>
    <x:row r="23">
      <x:c r="A23" s="2" t="s">
        <x:v>95</x:v>
      </x:c>
      <x:c r="B23" s="2" t="s">
        <x:v>255</x:v>
      </x:c>
      <x:c r="C23" s="7">
        <x:v>4.7631060267487722E-2</x:v>
      </x:c>
      <x:c r="D23" s="7">
        <x:v>0.44559599739197242</x:v>
      </x:c>
      <x:c r="E23" s="7">
        <x:v>0.38775416631749221</x:v>
      </x:c>
    </x:row>
    <x:row r="24">
      <x:c r="A24" s="2" t="s">
        <x:v>95</x:v>
      </x:c>
      <x:c r="B24" s="2" t="s">
        <x:v>249</x:v>
      </x:c>
      <x:c r="C24" s="7">
        <x:v>4.8196402153513368E-2</x:v>
      </x:c>
      <x:c r="D24" s="7">
        <x:v>0.43707731120788179</x:v>
      </x:c>
      <x:c r="E24" s="7">
        <x:v>0.38564216788704991</x:v>
      </x:c>
    </x:row>
    <x:row r="25">
      <x:c r="A25" s="2" t="s">
        <x:v>95</x:v>
      </x:c>
      <x:c r="B25" s="2" t="s">
        <x:v>228</x:v>
      </x:c>
      <x:c r="C25" s="7">
        <x:v>3.8992403165733859E-2</x:v>
      </x:c>
      <x:c r="D25" s="7">
        <x:v>0.58174672221550117</x:v>
      </x:c>
      <x:c r="E25" s="7">
        <x:v>0.21547997102092331</x:v>
      </x:c>
    </x:row>
    <x:row r="26">
      <x:c r="A26" s="2" t="s">
        <x:v>98</x:v>
      </x:c>
      <x:c r="B26" s="2" t="s">
        <x:v>237</x:v>
      </x:c>
      <x:c r="C26" s="7">
        <x:v>4.4548655460086781E-2</x:v>
      </x:c>
      <x:c r="D26" s="7">
        <x:v>0.49306937049448712</x:v>
      </x:c>
      <x:c r="E26" s="7">
        <x:v>0.28438750490288972</x:v>
      </x:c>
    </x:row>
    <x:row r="27">
      <x:c r="A27" s="2" t="s">
        <x:v>98</x:v>
      </x:c>
      <x:c r="B27" s="2" t="s">
        <x:v>248</x:v>
      </x:c>
      <x:c r="C27" s="7">
        <x:v>3.8314047653368981E-2</x:v>
      </x:c>
      <x:c r="D27" s="7">
        <x:v>0.59271871868834669</x:v>
      </x:c>
      <x:c r="E27" s="7">
        <x:v>0.25269428517822018</x:v>
      </x:c>
    </x:row>
    <x:row r="28">
      <x:c r="A28" s="2" t="s">
        <x:v>98</x:v>
      </x:c>
      <x:c r="B28" s="2" t="s">
        <x:v>258</x:v>
      </x:c>
      <x:c r="C28" s="7">
        <x:v>3.2574220240556978E-2</x:v>
      </x:c>
      <x:c r="D28" s="7">
        <x:v>0.68518802744935758</x:v>
      </x:c>
      <x:c r="E28" s="7">
        <x:v>0.49900211146760121</x:v>
      </x:c>
    </x:row>
    <x:row r="29">
      <x:c r="A29" s="2" t="s">
        <x:v>98</x:v>
      </x:c>
      <x:c r="B29" s="2" t="s">
        <x:v>250</x:v>
      </x:c>
      <x:c r="C29" s="7">
        <x:v>3.5960460982183293E-2</x:v>
      </x:c>
      <x:c r="D29" s="7">
        <x:v>0.63081028586147625</x:v>
      </x:c>
      <x:c r="E29" s="7">
        <x:v>0.31868102660547343</x:v>
      </x:c>
    </x:row>
    <x:row r="30">
      <x:c r="A30" s="2" t="s">
        <x:v>101</x:v>
      </x:c>
      <x:c r="B30" s="2" t="s">
        <x:v>247</x:v>
      </x:c>
      <x:c r="C30" s="7">
        <x:v>6.0802974774160273E-2</x:v>
      </x:c>
      <x:c r="D30" s="7">
        <x:v>0.26787385818399911</x:v>
      </x:c>
      <x:c r="E30" s="7">
        <x:v>0.21346021311942781</x:v>
      </x:c>
    </x:row>
    <x:row r="31">
      <x:c r="A31" s="2" t="s">
        <x:v>101</x:v>
      </x:c>
      <x:c r="B31" s="2" t="s">
        <x:v>241</x:v>
      </x:c>
      <x:c r="C31" s="7">
        <x:v>4.8922553592642019E-2</x:v>
      </x:c>
      <x:c r="D31" s="7">
        <x:v>0.42623156292741132</x:v>
      </x:c>
      <x:c r="E31" s="7">
        <x:v>0.23428424995859609</x:v>
      </x:c>
    </x:row>
    <x:row r="32">
      <x:c r="A32" s="2" t="s">
        <x:v>101</x:v>
      </x:c>
      <x:c r="B32" s="2" t="s">
        <x:v>240</x:v>
      </x:c>
      <x:c r="C32" s="7">
        <x:v>6.3157360057569015E-2</x:v>
      </x:c>
      <x:c r="D32" s="7">
        <x:v>0.24141805671905719</x:v>
      </x:c>
      <x:c r="E32" s="7">
        <x:v>0.236311736024305</x:v>
      </x:c>
    </x:row>
    <x:row r="33">
      <x:c r="A33" s="2" t="s">
        <x:v>101</x:v>
      </x:c>
      <x:c r="B33" s="2" t="s">
        <x:v>238</x:v>
      </x:c>
      <x:c r="C33" s="7">
        <x:v>2.221731202005741E-2</x:v>
      </x:c>
      <x:c r="D33" s="7">
        <x:v>0.83872489836384023</x:v>
      </x:c>
      <x:c r="E33" s="7">
        <x:v>0.625</x:v>
      </x:c>
    </x:row>
    <x:row r="34">
      <x:c r="A34" s="2" t="s">
        <x:v>119</x:v>
      </x:c>
      <x:c r="B34" s="2" t="s">
        <x:v>262</x:v>
      </x:c>
      <x:c r="C34" s="7">
        <x:v>1.141322210231238E-2</x:v>
      </x:c>
      <x:c r="D34" s="7">
        <x:v>0.95464844267831872</x:v>
      </x:c>
      <x:c r="E34" s="7">
        <x:v>0.31876421645676528</x:v>
      </x:c>
    </x:row>
    <x:row r="35">
      <x:c r="A35" s="2" t="s">
        <x:v>119</x:v>
      </x:c>
      <x:c r="B35" s="2" t="s">
        <x:v>263</x:v>
      </x:c>
      <x:c r="C35" s="7">
        <x:v>2.5368005684845561E-2</x:v>
      </x:c>
      <x:c r="D35" s="7">
        <x:v>0.79509687528007178</x:v>
      </x:c>
      <x:c r="E35" s="7">
        <x:v>0.48308500874115162</x:v>
      </x:c>
    </x:row>
    <x:row r="36">
      <x:c r="A36" s="2" t="s">
        <x:v>119</x:v>
      </x:c>
      <x:c r="B36" s="2" t="s">
        <x:v>252</x:v>
      </x:c>
      <x:c r="C36" s="7">
        <x:v>1.051650690399206E-2</x:v>
      </x:c>
      <x:c r="D36" s="7">
        <x:v>0.96136069933907364</x:v>
      </x:c>
      <x:c r="E36" s="7">
        <x:v>0.28108085419409029</x:v>
      </x:c>
    </x:row>
    <x:row r="37">
      <x:c r="A37" s="2" t="s">
        <x:v>119</x:v>
      </x:c>
      <x:c r="B37" s="2" t="s">
        <x:v>261</x:v>
      </x:c>
      <x:c r="C37" s="7">
        <x:v>3.7764494152001629E-2</x:v>
      </x:c>
      <x:c r="D37" s="7">
        <x:v>0.60161430396246329</x:v>
      </x:c>
      <x:c r="E37" s="7">
        <x:v>0.53273359284382482</x:v>
      </x:c>
    </x:row>
    <x:row r="38">
      <x:c r="A38" s="2" t="s">
        <x:v>122</x:v>
      </x:c>
      <x:c r="B38" s="2" t="s">
        <x:v>247</x:v>
      </x:c>
      <x:c r="C38" s="7">
        <x:v>4.0624772234446577E-2</x:v>
      </x:c>
      <x:c r="D38" s="7">
        <x:v>0.55542237938362959</x:v>
      </x:c>
      <x:c r="E38" s="7">
        <x:v>0.27413052909183</x:v>
      </x:c>
    </x:row>
    <x:row r="39">
      <x:c r="A39" s="2" t="s">
        <x:v>122</x:v>
      </x:c>
      <x:c r="B39" s="2" t="s">
        <x:v>244</x:v>
      </x:c>
      <x:c r="C39" s="7">
        <x:v>2.857730493171939E-2</x:v>
      </x:c>
      <x:c r="D39" s="7">
        <x:v>0.74753345693109263</x:v>
      </x:c>
      <x:c r="E39" s="7">
        <x:v>0.38181169473390292</x:v>
      </x:c>
    </x:row>
    <x:row r="40">
      <x:c r="A40" s="2" t="s">
        <x:v>122</x:v>
      </x:c>
      <x:c r="B40" s="2" t="s">
        <x:v>246</x:v>
      </x:c>
      <x:c r="C40" s="7">
        <x:v>3.9778567222372732E-2</x:v>
      </x:c>
      <x:c r="D40" s="7">
        <x:v>0.5690513382433493</x:v>
      </x:c>
      <x:c r="E40" s="7">
        <x:v>0.2219368022144865</x:v>
      </x:c>
    </x:row>
    <x:row r="41">
      <x:c r="A41" s="2" t="s">
        <x:v>122</x:v>
      </x:c>
      <x:c r="B41" s="2" t="s">
        <x:v>226</x:v>
      </x:c>
      <x:c r="C41" s="7">
        <x:v>5.4804616217149528E-2</x:v>
      </x:c>
      <x:c r="D41" s="7">
        <x:v>0.34295319935365037</x:v>
      </x:c>
      <x:c r="E41" s="7">
        <x:v>0.30187635964450438</x:v>
      </x:c>
    </x:row>
    <x:row r="42">
      <x:c r="A42" s="2" t="s">
        <x:v>125</x:v>
      </x:c>
      <x:c r="B42" s="2" t="s">
        <x:v>236</x:v>
      </x:c>
      <x:c r="C42" s="7">
        <x:v>3.7700010184263132E-2</x:v>
      </x:c>
      <x:c r="D42" s="7">
        <x:v>0.6026583127087668</x:v>
      </x:c>
      <x:c r="E42" s="7">
        <x:v>0.39334695744785159</x:v>
      </x:c>
    </x:row>
    <x:row r="43">
      <x:c r="A43" s="2" t="s">
        <x:v>125</x:v>
      </x:c>
      <x:c r="B43" s="2" t="s">
        <x:v>242</x:v>
      </x:c>
      <x:c r="C43" s="7">
        <x:v>3.3887034217045107E-2</x:v>
      </x:c>
      <x:c r="D43" s="7">
        <x:v>0.66421489228934094</x:v>
      </x:c>
      <x:c r="E43" s="7">
        <x:v>0.16135491469429139</x:v>
      </x:c>
    </x:row>
    <x:row r="44">
      <x:c r="A44" s="2" t="s">
        <x:v>125</x:v>
      </x:c>
      <x:c r="B44" s="2" t="s">
        <x:v>260</x:v>
      </x:c>
      <x:c r="C44" s="7">
        <x:v>3.5581651545860613E-2</x:v>
      </x:c>
      <x:c r="D44" s="7">
        <x:v>0.63693089620246257</x:v>
      </x:c>
      <x:c r="E44" s="7">
        <x:v>0.625</x:v>
      </x:c>
    </x:row>
    <x:row r="45">
      <x:c r="A45" s="2" t="s">
        <x:v>125</x:v>
      </x:c>
      <x:c r="B45" s="2" t="s">
        <x:v>251</x:v>
      </x:c>
      <x:c r="C45" s="7">
        <x:v>3.0086526849405579E-2</x:v>
      </x:c>
      <x:c r="D45" s="7">
        <x:v>0.72432014584231796</x:v>
      </x:c>
      <x:c r="E45" s="7">
        <x:v>0.32477527131199618</x:v>
      </x:c>
    </x:row>
    <x:row r="46">
      <x:c r="A46" s="2" t="s">
        <x:v>128</x:v>
      </x:c>
      <x:c r="B46" s="2" t="s">
        <x:v>235</x:v>
      </x:c>
      <x:c r="C46" s="7">
        <x:v>6.4067265245566496E-2</x:v>
      </x:c>
      <x:c r="D46" s="7">
        <x:v>0.23166307755432111</x:v>
      </x:c>
      <x:c r="E46" s="7">
        <x:v>0.27756029247548919</x:v>
      </x:c>
    </x:row>
    <x:row r="47">
      <x:c r="A47" s="2" t="s">
        <x:v>128</x:v>
      </x:c>
      <x:c r="B47" s="2" t="s">
        <x:v>242</x:v>
      </x:c>
      <x:c r="C47" s="7">
        <x:v>7.8503312303177933E-2</x:v>
      </x:c>
      <x:c r="D47" s="7">
        <x:v>0.1112705587289181</x:v>
      </x:c>
      <x:c r="E47" s="7">
        <x:v>0.32738436344775179</x:v>
      </x:c>
    </x:row>
    <x:row r="48">
      <x:c r="A48" s="2" t="s">
        <x:v>128</x:v>
      </x:c>
      <x:c r="B48" s="2" t="s">
        <x:v>245</x:v>
      </x:c>
      <x:c r="C48" s="7">
        <x:v>6.9079405675025324E-2</x:v>
      </x:c>
      <x:c r="D48" s="7">
        <x:v>0.18263831955165691</x:v>
      </x:c>
      <x:c r="E48" s="7">
        <x:v>0.22064512685174739</x:v>
      </x:c>
    </x:row>
    <x:row r="49">
      <x:c r="A49" s="2" t="s">
        <x:v>128</x:v>
      </x:c>
      <x:c r="B49" s="2" t="s">
        <x:v>255</x:v>
      </x:c>
      <x:c r="C49" s="7">
        <x:v>5.6610402007002673E-2</x:v>
      </x:c>
      <x:c r="D49" s="7">
        <x:v>0.31922926663382079</x:v>
      </x:c>
      <x:c r="E49" s="7">
        <x:v>0.15253487067105781</x:v>
      </x:c>
    </x:row>
    <x:row r="50">
      <x:c r="A50" s="2" t="s">
        <x:v>131</x:v>
      </x:c>
      <x:c r="B50" s="2" t="s">
        <x:v>226</x:v>
      </x:c>
      <x:c r="C50" s="7">
        <x:v>4.7470363131001038E-2</x:v>
      </x:c>
      <x:c r="D50" s="7">
        <x:v>0.44802895379709262</x:v>
      </x:c>
      <x:c r="E50" s="7">
        <x:v>0.26341124656579112</x:v>
      </x:c>
    </x:row>
    <x:row r="51">
      <x:c r="A51" s="2" t="s">
        <x:v>131</x:v>
      </x:c>
      <x:c r="B51" s="2" t="s">
        <x:v>253</x:v>
      </x:c>
      <x:c r="C51" s="7">
        <x:v>3.6638471156595832E-2</x:v>
      </x:c>
      <x:c r="D51" s="7">
        <x:v>0.61984354982884415</x:v>
      </x:c>
      <x:c r="E51" s="7">
        <x:v>0.41202511358279209</x:v>
      </x:c>
    </x:row>
    <x:row r="52">
      <x:c r="A52" s="2" t="s">
        <x:v>131</x:v>
      </x:c>
      <x:c r="B52" s="2" t="s">
        <x:v>235</x:v>
      </x:c>
      <x:c r="C52" s="7">
        <x:v>8.4784001733728534E-2</x:v>
      </x:c>
      <x:c r="D52" s="7">
        <x:v>7.7212356750677627E-2</x:v>
      </x:c>
      <x:c r="E52" s="7">
        <x:v>0.2607717449312591</x:v>
      </x:c>
    </x:row>
    <x:row r="53">
      <x:c r="A53" s="2" t="s">
        <x:v>131</x:v>
      </x:c>
      <x:c r="B53" s="2" t="s">
        <x:v>229</x:v>
      </x:c>
      <x:c r="C53" s="7">
        <x:v>4.1223843821203331E-2</x:v>
      </x:c>
      <x:c r="D53" s="7">
        <x:v>0.54580315077000963</x:v>
      </x:c>
      <x:c r="E53" s="7">
        <x:v>0.43975221413742083</x:v>
      </x:c>
    </x:row>
    <x:row r="54">
      <x:c r="A54" s="2" t="s">
        <x:v>252</x:v>
      </x:c>
      <x:c r="B54" s="2" t="s">
        <x:v>262</x:v>
      </x:c>
      <x:c r="C54" s="7">
        <x:v>1.1278088827795549E-2</x:v>
      </x:c>
      <x:c r="D54" s="7">
        <x:v>0.95569200303745361</x:v>
      </x:c>
      <x:c r="E54" s="7">
        <x:v>0.60000000000000009</x:v>
      </x:c>
    </x:row>
    <x:row r="55">
      <x:c r="A55" s="2" t="s">
        <x:v>252</x:v>
      </x:c>
      <x:c r="B55" s="2" t="s">
        <x:v>263</x:v>
      </x:c>
      <x:c r="C55" s="7">
        <x:v>2.1467917827520722E-2</x:v>
      </x:c>
      <x:c r="D55" s="7">
        <x:v>0.84856534426165919</x:v>
      </x:c>
      <x:c r="E55" s="7">
        <x:v>0.6</x:v>
      </x:c>
    </x:row>
    <x:row r="56">
      <x:c r="A56" s="2" t="s">
        <x:v>252</x:v>
      </x:c>
      <x:c r="B56" s="2" t="s">
        <x:v>234</x:v>
      </x:c>
      <x:c r="C56" s="7">
        <x:v>3.1056903105686332E-2</x:v>
      </x:c>
      <x:c r="D56" s="7">
        <x:v>0.70916873505782008</x:v>
      </x:c>
      <x:c r="E56" s="7">
        <x:v>0.27793195881724819</x:v>
      </x:c>
    </x:row>
    <x:row r="57">
      <x:c r="A57" s="2" t="s">
        <x:v>252</x:v>
      </x:c>
      <x:c r="B57" s="2" t="s">
        <x:v>261</x:v>
      </x:c>
      <x:c r="C57" s="7">
        <x:v>3.3779980349526062E-2</x:v>
      </x:c>
      <x:c r="D57" s="7">
        <x:v>0.66593147022671639</x:v>
      </x:c>
      <x:c r="E57" s="7">
        <x:v>0.6</x:v>
      </x:c>
    </x:row>
    <x:row r="58">
      <x:c r="A58" s="2" t="s">
        <x:v>258</x:v>
      </x:c>
      <x:c r="B58" s="2" t="s">
        <x:v>250</x:v>
      </x:c>
      <x:c r="C58" s="7">
        <x:v>3.180163073937757E-2</x:v>
      </x:c>
      <x:c r="D58" s="7">
        <x:v>0.6974384266428969</x:v>
      </x:c>
      <x:c r="E58" s="7">
        <x:v>0.34192145151302528</x:v>
      </x:c>
    </x:row>
    <x:row r="59">
      <x:c r="A59" s="2" t="s">
        <x:v>258</x:v>
      </x:c>
      <x:c r="B59" s="2" t="s">
        <x:v>237</x:v>
      </x:c>
      <x:c r="C59" s="7">
        <x:v>3.6780835313468867E-2</x:v>
      </x:c>
      <x:c r="D59" s="7">
        <x:v>0.61753945927620335</x:v>
      </x:c>
      <x:c r="E59" s="7">
        <x:v>0.25301771665384182</x:v>
      </x:c>
    </x:row>
    <x:row r="60">
      <x:c r="A60" s="2" t="s">
        <x:v>258</x:v>
      </x:c>
      <x:c r="B60" s="2" t="s">
        <x:v>245</x:v>
      </x:c>
      <x:c r="C60" s="7">
        <x:v>4.1357798105472077E-2</x:v>
      </x:c>
      <x:c r="D60" s="7">
        <x:v>0.54365613357599962</x:v>
      </x:c>
      <x:c r="E60" s="7">
        <x:v>0.21463907174677829</x:v>
      </x:c>
    </x:row>
    <x:row r="61">
      <x:c r="A61" s="2" t="s">
        <x:v>258</x:v>
      </x:c>
      <x:c r="B61" s="2" t="s">
        <x:v>248</x:v>
      </x:c>
      <x:c r="C61" s="7">
        <x:v>3.2766351796509691E-2</x:v>
      </x:c>
      <x:c r="D61" s="7">
        <x:v>0.68213004196321847</x:v>
      </x:c>
      <x:c r="E61" s="7">
        <x:v>0.2436029345074027</x:v>
      </x:c>
    </x:row>
    <x:row r="62">
      <x:c r="A62" s="2" t="s">
        <x:v>254</x:v>
      </x:c>
      <x:c r="B62" s="2" t="s">
        <x:v>240</x:v>
      </x:c>
      <x:c r="C62" s="7">
        <x:v>3.7711559665163152E-2</x:v>
      </x:c>
      <x:c r="D62" s="7">
        <x:v>0.60247132237017409</x:v>
      </x:c>
      <x:c r="E62" s="7">
        <x:v>0.3037168067980921</x:v>
      </x:c>
    </x:row>
    <x:row r="63">
      <x:c r="A63" s="2" t="s">
        <x:v>254</x:v>
      </x:c>
      <x:c r="B63" s="2" t="s">
        <x:v>235</x:v>
      </x:c>
      <x:c r="C63" s="7">
        <x:v>3.7397153809276933E-2</x:v>
      </x:c>
      <x:c r="D63" s="7">
        <x:v>0.60756182437902706</x:v>
      </x:c>
      <x:c r="E63" s="7">
        <x:v>-0.1003519645765565</x:v>
      </x:c>
    </x:row>
    <x:row r="64">
      <x:c r="A64" s="2" t="s">
        <x:v>254</x:v>
      </x:c>
      <x:c r="B64" s="2" t="s">
        <x:v>233</x:v>
      </x:c>
      <x:c r="C64" s="7">
        <x:v>2.7920423757209309E-2</x:v>
      </x:c>
      <x:c r="D64" s="7">
        <x:v>0.75748379677408995</x:v>
      </x:c>
      <x:c r="E64" s="7">
        <x:v>0.46881719750822232</x:v>
      </x:c>
    </x:row>
    <x:row r="65">
      <x:c r="A65" s="2" t="s">
        <x:v>254</x:v>
      </x:c>
      <x:c r="B65" s="2" t="s">
        <x:v>264</x:v>
      </x:c>
      <x:c r="C65" s="7">
        <x:v>4.0261338212961843E-2</x:v>
      </x:c>
      <x:c r="D65" s="7">
        <x:v>0.56127047219126691</x:v>
      </x:c>
      <x:c r="E65" s="7">
        <x:v>0.46731354538981579</x:v>
      </x:c>
    </x:row>
    <x:row r="66">
      <x:c r="A66" s="2" t="s">
        <x:v>254</x:v>
      </x:c>
      <x:c r="B66" s="2" t="s">
        <x:v>265</x:v>
      </x:c>
      <x:c r="C66" s="7">
        <x:v>3.3291821589480602E-2</x:v>
      </x:c>
      <x:c r="D66" s="7">
        <x:v>0.67374561084647433</x:v>
      </x:c>
      <x:c r="E66" s="7">
        <x:v>0.49299743844481941</x:v>
      </x:c>
    </x:row>
    <x:row r="67">
      <x:c r="A67" s="2" t="s">
        <x:v>228</x:v>
      </x:c>
      <x:c r="B67" s="2" t="s">
        <x:v>255</x:v>
      </x:c>
      <x:c r="C67" s="7">
        <x:v>3.8761427715481342E-2</x:v>
      </x:c>
      <x:c r="D67" s="7">
        <x:v>0.58548117310827463</x:v>
      </x:c>
      <x:c r="E67" s="7">
        <x:v>0.21998238270774501</x:v>
      </x:c>
    </x:row>
    <x:row r="68">
      <x:c r="A68" s="2" t="s">
        <x:v>228</x:v>
      </x:c>
      <x:c r="B68" s="2" t="s">
        <x:v>239</x:v>
      </x:c>
      <x:c r="C68" s="7">
        <x:v>4.2889218629555997E-2</x:v>
      </x:c>
      <x:c r="D68" s="7">
        <x:v>0.51923057734339784</x:v>
      </x:c>
      <x:c r="E68" s="7">
        <x:v>-0.16344273785694011</x:v>
      </x:c>
    </x:row>
    <x:row r="69">
      <x:c r="A69" s="2" t="s">
        <x:v>228</x:v>
      </x:c>
      <x:c r="B69" s="2" t="s">
        <x:v>249</x:v>
      </x:c>
      <x:c r="C69" s="7">
        <x:v>4.1269871971427979E-2</x:v>
      </x:c>
      <x:c r="D69" s="7">
        <x:v>0.54506524375401488</x:v>
      </x:c>
      <x:c r="E69" s="7">
        <x:v>0.2387448945344002</x:v>
      </x:c>
    </x:row>
    <x:row r="70">
      <x:c r="A70" s="2" t="s">
        <x:v>228</x:v>
      </x:c>
      <x:c r="B70" s="2" t="s">
        <x:v>241</x:v>
      </x:c>
      <x:c r="C70" s="7">
        <x:v>3.7816799409405709E-2</x:v>
      </x:c>
      <x:c r="D70" s="7">
        <x:v>0.60076749207979951</x:v>
      </x:c>
      <x:c r="E70" s="7">
        <x:v>1.1554329465944259E-2</x:v>
      </x:c>
    </x:row>
    <x:row r="71">
      <x:c r="A71" s="2" t="s">
        <x:v>228</x:v>
      </x:c>
      <x:c r="B71" s="2" t="s">
        <x:v>243</x:v>
      </x:c>
      <x:c r="C71" s="7">
        <x:v>4.9768900633799178E-2</x:v>
      </x:c>
      <x:c r="D71" s="7">
        <x:v>0.41373351559390598</x:v>
      </x:c>
      <x:c r="E71" s="7">
        <x:v>2.6110176314935171E-2</x:v>
      </x:c>
    </x:row>
    <x:row r="72">
      <x:c r="A72" s="2" t="s">
        <x:v>228</x:v>
      </x:c>
      <x:c r="B72" s="2" t="s">
        <x:v>230</x:v>
      </x:c>
      <x:c r="C72" s="7">
        <x:v>3.3363298998459898E-2</x:v>
      </x:c>
      <x:c r="D72" s="7">
        <x:v>0.67260287813043984</x:v>
      </x:c>
      <x:c r="E72" s="7">
        <x:v>0.2106201732258747</x:v>
      </x:c>
    </x:row>
    <x:row r="73">
      <x:c r="A73" s="2" t="s">
        <x:v>229</x:v>
      </x:c>
      <x:c r="B73" s="2" t="s">
        <x:v>246</x:v>
      </x:c>
      <x:c r="C73" s="7">
        <x:v>5.1637192390091707E-2</x:v>
      </x:c>
      <x:c r="D73" s="7">
        <x:v>0.38672698804237782</x:v>
      </x:c>
      <x:c r="E73" s="7">
        <x:v>0.1094996933966553</x:v>
      </x:c>
    </x:row>
    <x:row r="74">
      <x:c r="A74" s="2" t="s">
        <x:v>229</x:v>
      </x:c>
      <x:c r="B74" s="2" t="s">
        <x:v>226</x:v>
      </x:c>
      <x:c r="C74" s="7">
        <x:v>6.2676514289540424E-3</x:v>
      </x:c>
      <x:c r="D74" s="7">
        <x:v>0.98610083108919744</x:v>
      </x:c>
      <x:c r="E74" s="7">
        <x:v>-1.0948551697588109</x:v>
      </x:c>
    </x:row>
    <x:row r="75">
      <x:c r="A75" s="2" t="s">
        <x:v>229</x:v>
      </x:c>
      <x:c r="B75" s="2" t="s">
        <x:v>253</x:v>
      </x:c>
      <x:c r="C75" s="7">
        <x:v>3.458358184831082E-2</x:v>
      </x:c>
      <x:c r="D75" s="7">
        <x:v>0.65302324896691011</x:v>
      </x:c>
      <x:c r="E75" s="7">
        <x:v>0.44081698853449691</x:v>
      </x:c>
    </x:row>
    <x:row r="76">
      <x:c r="A76" s="2" t="s">
        <x:v>234</x:v>
      </x:c>
      <x:c r="B76" s="2" t="s">
        <x:v>263</x:v>
      </x:c>
      <x:c r="C76" s="7">
        <x:v>3.1726013756231283E-2</x:v>
      </x:c>
      <x:c r="D76" s="7">
        <x:v>0.69863317005165237</x:v>
      </x:c>
      <x:c r="E76" s="7">
        <x:v>0.29218411201502642</x:v>
      </x:c>
    </x:row>
    <x:row r="77">
      <x:c r="A77" s="2" t="s">
        <x:v>234</x:v>
      </x:c>
      <x:c r="B77" s="2" t="s">
        <x:v>261</x:v>
      </x:c>
      <x:c r="C77" s="7">
        <x:v>3.6354258217979253E-2</x:v>
      </x:c>
      <x:c r="D77" s="7">
        <x:v>0.62444215944230019</x:v>
      </x:c>
      <x:c r="E77" s="7">
        <x:v>0.34858567737304108</x:v>
      </x:c>
    </x:row>
    <x:row r="78">
      <x:c r="A78" s="2" t="s">
        <x:v>234</x:v>
      </x:c>
      <x:c r="B78" s="2" t="s">
        <x:v>262</x:v>
      </x:c>
      <x:c r="C78" s="7">
        <x:v>3.592454542681843E-2</x:v>
      </x:c>
      <x:c r="D78" s="7">
        <x:v>0.63139082885710007</x:v>
      </x:c>
      <x:c r="E78" s="7">
        <x:v>0.32157098079844071</x:v>
      </x:c>
    </x:row>
    <x:row r="79">
      <x:c r="A79" s="2" t="s">
        <x:v>248</x:v>
      </x:c>
      <x:c r="B79" s="2" t="s">
        <x:v>237</x:v>
      </x:c>
      <x:c r="C79" s="7">
        <x:v>2.6964825779916431E-2</x:v>
      </x:c>
      <x:c r="D79" s="7">
        <x:v>0.77177218936630387</x:v>
      </x:c>
      <x:c r="E79" s="7">
        <x:v>0.29619860921690527</x:v>
      </x:c>
    </x:row>
    <x:row r="80">
      <x:c r="A80" s="2" t="s">
        <x:v>248</x:v>
      </x:c>
      <x:c r="B80" s="2" t="s">
        <x:v>249</x:v>
      </x:c>
      <x:c r="C80" s="7">
        <x:v>4.353220086618656E-2</x:v>
      </x:c>
      <x:c r="D80" s="7">
        <x:v>0.50905161615764949</x:v>
      </x:c>
      <x:c r="E80" s="7">
        <x:v>3.3825874340820961E-2</x:v>
      </x:c>
    </x:row>
    <x:row r="81">
      <x:c r="A81" s="2" t="s">
        <x:v>248</x:v>
      </x:c>
      <x:c r="B81" s="2" t="s">
        <x:v>245</x:v>
      </x:c>
      <x:c r="C81" s="7">
        <x:v>3.7460841163568147E-2</x:v>
      </x:c>
      <x:c r="D81" s="7">
        <x:v>0.60653065971263342</x:v>
      </x:c>
      <x:c r="E81" s="7">
        <x:v>8.7286755579529252E-2</x:v>
      </x:c>
    </x:row>
    <x:row r="82">
      <x:c r="A82" s="2" t="s">
        <x:v>248</x:v>
      </x:c>
      <x:c r="B82" s="2" t="s">
        <x:v>243</x:v>
      </x:c>
      <x:c r="C82" s="7">
        <x:v>4.9999795028110958E-2</x:v>
      </x:c>
      <x:c r="D82" s="7">
        <x:v>0.41035160379947572</x:v>
      </x:c>
      <x:c r="E82" s="7">
        <x:v>0.13387237656940151</x:v>
      </x:c>
    </x:row>
    <x:row r="83">
      <x:c r="A83" s="2" t="s">
        <x:v>248</x:v>
      </x:c>
      <x:c r="B83" s="2" t="s">
        <x:v>250</x:v>
      </x:c>
      <x:c r="C83" s="7">
        <x:v>1.9060635791905641E-2</x:v>
      </x:c>
      <x:c r="D83" s="7">
        <x:v>0.87858174632195363</x:v>
      </x:c>
      <x:c r="E83" s="7">
        <x:v>7.2896484187993549E-2</x:v>
      </x:c>
    </x:row>
    <x:row r="84">
      <x:c r="A84" s="2" t="s">
        <x:v>255</x:v>
      </x:c>
      <x:c r="B84" s="2" t="s">
        <x:v>230</x:v>
      </x:c>
      <x:c r="C84" s="7">
        <x:v>4.0423484039251972E-2</x:v>
      </x:c>
      <x:c r="D84" s="7">
        <x:v>0.55866027713911981</x:v>
      </x:c>
      <x:c r="E84" s="7">
        <x:v>0.40301674772048229</x:v>
      </x:c>
    </x:row>
    <x:row r="85">
      <x:c r="A85" s="2" t="s">
        <x:v>255</x:v>
      </x:c>
      <x:c r="B85" s="2" t="s">
        <x:v>249</x:v>
      </x:c>
      <x:c r="C85" s="7">
        <x:v>4.651998743282184E-2</x:v>
      </x:c>
      <x:c r="D85" s="7">
        <x:v>0.46251764205243118</x:v>
      </x:c>
      <x:c r="E85" s="7">
        <x:v>0.32614899221009558</x:v>
      </x:c>
    </x:row>
    <x:row r="86">
      <x:c r="A86" s="2" t="s">
        <x:v>255</x:v>
      </x:c>
      <x:c r="B86" s="2" t="s">
        <x:v>241</x:v>
      </x:c>
      <x:c r="C86" s="7">
        <x:v>4.1850505296328638E-2</x:v>
      </x:c>
      <x:c r="D86" s="7">
        <x:v>0.53577249445166708</x:v>
      </x:c>
      <x:c r="E86" s="7">
        <x:v>0.1191556525381923</x:v>
      </x:c>
    </x:row>
    <x:row r="87">
      <x:c r="A87" s="2" t="s">
        <x:v>262</x:v>
      </x:c>
      <x:c r="B87" s="2" t="s">
        <x:v>263</x:v>
      </x:c>
      <x:c r="C87" s="7">
        <x:v>2.136172873682448E-2</x:v>
      </x:c>
      <x:c r="D87" s="7">
        <x:v>0.84994152845287174</x:v>
      </x:c>
      <x:c r="E87" s="7">
        <x:v>0.6</x:v>
      </x:c>
    </x:row>
    <x:row r="88">
      <x:c r="A88" s="2" t="s">
        <x:v>262</x:v>
      </x:c>
      <x:c r="B88" s="2" t="s">
        <x:v>261</x:v>
      </x:c>
      <x:c r="C88" s="7">
        <x:v>3.3752034363826608E-2</x:v>
      </x:c>
      <x:c r="D88" s="7">
        <x:v>0.66637941003084</x:v>
      </x:c>
      <x:c r="E88" s="7">
        <x:v>0.6</x:v>
      </x:c>
    </x:row>
    <x:row r="89">
      <x:c r="A89" s="2" t="s">
        <x:v>259</x:v>
      </x:c>
      <x:c r="B89" s="2" t="s">
        <x:v>266</x:v>
      </x:c>
      <x:c r="C89" s="7">
        <x:v>3.3750804686736101E-2</x:v>
      </x:c>
      <x:c r="D89" s="7">
        <x:v>0.66639911864408097</x:v>
      </x:c>
      <x:c r="E89" s="7">
        <x:v>0.625</x:v>
      </x:c>
    </x:row>
    <x:row r="90">
      <x:c r="A90" s="2" t="s">
        <x:v>259</x:v>
      </x:c>
      <x:c r="B90" s="2" t="s">
        <x:v>267</x:v>
      </x:c>
      <x:c r="C90" s="7">
        <x:v>3.5716626695561207E-2</x:v>
      </x:c>
      <x:c r="D90" s="7">
        <x:v>0.63475069899416747</x:v>
      </x:c>
      <x:c r="E90" s="7">
        <x:v>0.625</x:v>
      </x:c>
    </x:row>
    <x:row r="91">
      <x:c r="A91" s="2" t="s">
        <x:v>259</x:v>
      </x:c>
      <x:c r="B91" s="2" t="s">
        <x:v>232</x:v>
      </x:c>
      <x:c r="C91" s="7">
        <x:v>3.8576292068990478E-2</x:v>
      </x:c>
      <x:c r="D91" s="7">
        <x:v>0.58847562639551876</x:v>
      </x:c>
      <x:c r="E91" s="7">
        <x:v>0.47507463491748048</x:v>
      </x:c>
    </x:row>
    <x:row r="92">
      <x:c r="A92" s="2" t="s">
        <x:v>264</x:v>
      </x:c>
      <x:c r="B92" s="2" t="s">
        <x:v>233</x:v>
      </x:c>
      <x:c r="C92" s="7">
        <x:v>3.7252825993212828E-2</x:v>
      </x:c>
      <x:c r="D92" s="7">
        <x:v>0.60989861077905971</x:v>
      </x:c>
      <x:c r="E92" s="7">
        <x:v>0.38211121640387252</x:v>
      </x:c>
    </x:row>
    <x:row r="93">
      <x:c r="A93" s="2" t="s">
        <x:v>264</x:v>
      </x:c>
      <x:c r="B93" s="2" t="s">
        <x:v>265</x:v>
      </x:c>
      <x:c r="C93" s="7">
        <x:v>3.7447752677903817E-2</x:v>
      </x:c>
      <x:c r="D93" s="7">
        <x:v>0.6067425761372246</x:v>
      </x:c>
      <x:c r="E93" s="7">
        <x:v>0.51794391692122321</x:v>
      </x:c>
    </x:row>
    <x:row r="94">
      <x:c r="A94" s="2" t="s">
        <x:v>264</x:v>
      </x:c>
      <x:c r="B94" s="2" t="s">
        <x:v>240</x:v>
      </x:c>
      <x:c r="C94" s="7">
        <x:v>4.1612130870113083E-2</x:v>
      </x:c>
      <x:c r="D94" s="7">
        <x:v>0.53958391901148217</x:v>
      </x:c>
      <x:c r="E94" s="7">
        <x:v>0.30917743455364949</x:v>
      </x:c>
    </x:row>
    <x:row r="95">
      <x:c r="A95" s="2" t="s">
        <x:v>237</x:v>
      </x:c>
      <x:c r="B95" s="2" t="s">
        <x:v>250</x:v>
      </x:c>
      <x:c r="C95" s="7">
        <x:v>3.3594607089857641E-2</x:v>
      </x:c>
      <x:c r="D95" s="7">
        <x:v>0.66890145592787964</x:v>
      </x:c>
      <x:c r="E95" s="7">
        <x:v>0.18873371062245001</x:v>
      </x:c>
    </x:row>
    <x:row r="96">
      <x:c r="A96" s="2" t="s">
        <x:v>237</x:v>
      </x:c>
      <x:c r="B96" s="2" t="s">
        <x:v>246</x:v>
      </x:c>
      <x:c r="C96" s="7">
        <x:v>4.4785893121983202E-2</x:v>
      </x:c>
      <x:c r="D96" s="7">
        <x:v>0.48936010974909422</x:v>
      </x:c>
      <x:c r="E96" s="7">
        <x:v>-2.1455013044025421E-2</x:v>
      </x:c>
    </x:row>
    <x:row r="97">
      <x:c r="A97" s="2" t="s">
        <x:v>237</x:v>
      </x:c>
      <x:c r="B97" s="2" t="s">
        <x:v>245</x:v>
      </x:c>
      <x:c r="C97" s="7">
        <x:v>3.8485902946679987E-2</x:v>
      </x:c>
      <x:c r="D97" s="7">
        <x:v>0.58993793829240038</x:v>
      </x:c>
      <x:c r="E97" s="7">
        <x:v>9.2120629085616468E-2</x:v>
      </x:c>
    </x:row>
    <x:row r="98">
      <x:c r="A98" s="2" t="s">
        <x:v>237</x:v>
      </x:c>
      <x:c r="B98" s="2" t="s">
        <x:v>244</x:v>
      </x:c>
      <x:c r="C98" s="7">
        <x:v>3.4859685218217119E-2</x:v>
      </x:c>
      <x:c r="D98" s="7">
        <x:v>0.64857731661477147</x:v>
      </x:c>
      <x:c r="E98" s="7">
        <x:v>-0.17820405973437989</x:v>
      </x:c>
    </x:row>
    <x:row r="99">
      <x:c r="A99" s="2" t="s">
        <x:v>243</x:v>
      </x:c>
      <x:c r="B99" s="2" t="s">
        <x:v>246</x:v>
      </x:c>
      <x:c r="C99" s="7">
        <x:v>5.0957666016684777E-2</x:v>
      </x:c>
      <x:c r="D99" s="7">
        <x:v>0.3964534835919315</x:v>
      </x:c>
      <x:c r="E99" s="7">
        <x:v>7.6950897988865896E-2</x:v>
      </x:c>
    </x:row>
    <x:row r="100">
      <x:c r="A100" s="2" t="s">
        <x:v>243</x:v>
      </x:c>
      <x:c r="B100" s="2" t="s">
        <x:v>253</x:v>
      </x:c>
      <x:c r="C100" s="7">
        <x:v>5.2885913759970447E-2</x:v>
      </x:c>
      <x:c r="D100" s="7">
        <x:v>0.36915430212631778</x:v>
      </x:c>
      <x:c r="E100" s="7">
        <x:v>7.8821998460420373E-2</x:v>
      </x:c>
    </x:row>
    <x:row r="101">
      <x:c r="A101" s="2" t="s">
        <x:v>241</x:v>
      </x:c>
      <x:c r="B101" s="2" t="s">
        <x:v>230</x:v>
      </x:c>
      <x:c r="C101" s="7">
        <x:v>4.4291043281822783E-2</x:v>
      </x:c>
      <x:c r="D101" s="7">
        <x:v>0.49710645964863193</x:v>
      </x:c>
      <x:c r="E101" s="7">
        <x:v>0.1778354622462546</x:v>
      </x:c>
    </x:row>
    <x:row r="102">
      <x:c r="A102" s="2" t="s">
        <x:v>241</x:v>
      </x:c>
      <x:c r="B102" s="2" t="s">
        <x:v>238</x:v>
      </x:c>
      <x:c r="C102" s="7">
        <x:v>4.0858626981110591E-2</x:v>
      </x:c>
      <x:c r="D102" s="7">
        <x:v>0.55166417673051682</x:v>
      </x:c>
      <x:c r="E102" s="7">
        <x:v>0.15824019024403541</x:v>
      </x:c>
    </x:row>
    <x:row r="103">
      <x:c r="A103" s="2" t="s">
        <x:v>263</x:v>
      </x:c>
      <x:c r="B103" s="2" t="s">
        <x:v>261</x:v>
      </x:c>
      <x:c r="C103" s="7">
        <x:v>3.1475710777996463E-2</x:v>
      </x:c>
      <x:c r="D103" s="7">
        <x:v>0.70258213817420012</x:v>
      </x:c>
      <x:c r="E103" s="7">
        <x:v>0.6</x:v>
      </x:c>
    </x:row>
    <x:row r="104">
      <x:c r="A104" s="2" t="s">
        <x:v>250</x:v>
      </x:c>
      <x:c r="B104" s="2" t="s">
        <x:v>249</x:v>
      </x:c>
      <x:c r="C104" s="7">
        <x:v>4.3740961492425838E-2</x:v>
      </x:c>
      <x:c r="D104" s="7">
        <x:v>0.50575781610064519</x:v>
      </x:c>
      <x:c r="E104" s="7">
        <x:v>5.3295830438620961E-2</x:v>
      </x:c>
    </x:row>
    <x:row r="105">
      <x:c r="A105" s="2" t="s">
        <x:v>250</x:v>
      </x:c>
      <x:c r="B105" s="2" t="s">
        <x:v>245</x:v>
      </x:c>
      <x:c r="C105" s="7">
        <x:v>3.7809485410723487E-2</x:v>
      </x:c>
      <x:c r="D105" s="7">
        <x:v>0.60088590301709155</x:v>
      </x:c>
      <x:c r="E105" s="7">
        <x:v>0.1216520867930828</x:v>
      </x:c>
    </x:row>
    <x:row r="106">
      <x:c r="A106" s="2" t="s">
        <x:v>250</x:v>
      </x:c>
      <x:c r="B106" s="2" t="s">
        <x:v>256</x:v>
      </x:c>
      <x:c r="C106" s="7">
        <x:v>5.6576003618247252E-2</x:v>
      </x:c>
      <x:c r="D106" s="7">
        <x:v>0.31967241718183032</x:v>
      </x:c>
      <x:c r="E106" s="7">
        <x:v>6.5176205787274011E-2</x:v>
      </x:c>
    </x:row>
    <x:row r="107">
      <x:c r="A107" s="2" t="s">
        <x:v>260</x:v>
      </x:c>
      <x:c r="B107" s="2" t="s">
        <x:v>251</x:v>
      </x:c>
      <x:c r="C107" s="7">
        <x:v>3.1411503039210788E-2</x:v>
      </x:c>
      <x:c r="D107" s="7">
        <x:v>0.70359365760912362</x:v>
      </x:c>
      <x:c r="E107" s="7">
        <x:v>0.34886385365288419</x:v>
      </x:c>
    </x:row>
    <x:row r="108">
      <x:c r="A108" s="2" t="s">
        <x:v>260</x:v>
      </x:c>
      <x:c r="B108" s="2" t="s">
        <x:v>236</x:v>
      </x:c>
      <x:c r="C108" s="7">
        <x:v>3.7532531946276093E-2</x:v>
      </x:c>
      <x:c r="D108" s="7">
        <x:v>0.60536991149338248</x:v>
      </x:c>
      <x:c r="E108" s="7">
        <x:v>0.40268472614898559</x:v>
      </x:c>
    </x:row>
    <x:row r="109">
      <x:c r="A109" s="2" t="s">
        <x:v>260</x:v>
      </x:c>
      <x:c r="B109" s="2" t="s">
        <x:v>242</x:v>
      </x:c>
      <x:c r="C109" s="7">
        <x:v>3.2964359652092649E-2</x:v>
      </x:c>
      <x:c r="D109" s="7">
        <x:v>0.67897411971069388</x:v>
      </x:c>
      <x:c r="E109" s="7">
        <x:v>0.17004813065622551</x:v>
      </x:c>
    </x:row>
    <x:row r="110">
      <x:c r="A110" s="2" t="s">
        <x:v>236</x:v>
      </x:c>
      <x:c r="B110" s="2" t="s">
        <x:v>233</x:v>
      </x:c>
      <x:c r="C110" s="7">
        <x:v>3.107049942941098E-2</x:v>
      </x:c>
      <x:c r="D110" s="7">
        <x:v>0.70895533040914505</x:v>
      </x:c>
      <x:c r="E110" s="7">
        <x:v>-0.23527609172469829</x:v>
      </x:c>
    </x:row>
    <x:row r="111">
      <x:c r="A111" s="2" t="s">
        <x:v>236</x:v>
      </x:c>
      <x:c r="B111" s="2" t="s">
        <x:v>242</x:v>
      </x:c>
      <x:c r="C111" s="7">
        <x:v>3.4635089620272327E-2</x:v>
      </x:c>
      <x:c r="D111" s="7">
        <x:v>0.65219423126220999</x:v>
      </x:c>
      <x:c r="E111" s="7">
        <x:v>0.2282244263483201</x:v>
      </x:c>
    </x:row>
    <x:row r="112">
      <x:c r="A112" s="2" t="s">
        <x:v>236</x:v>
      </x:c>
      <x:c r="B112" s="2" t="s">
        <x:v>235</x:v>
      </x:c>
      <x:c r="C112" s="7">
        <x:v>3.050467132898636E-2</x:v>
      </x:c>
      <x:c r="D112" s="7">
        <x:v>0.71781101981790862</x:v>
      </x:c>
      <x:c r="E112" s="7">
        <x:v>-9.3622429900266591E-2</x:v>
      </x:c>
    </x:row>
    <x:row r="113">
      <x:c r="A113" s="2" t="s">
        <x:v>236</x:v>
      </x:c>
      <x:c r="B113" s="2" t="s">
        <x:v>251</x:v>
      </x:c>
      <x:c r="C113" s="7">
        <x:v>3.3256679764320757E-2</x:v>
      </x:c>
      <x:c r="D113" s="7">
        <x:v>0.67430724621353633</x:v>
      </x:c>
      <x:c r="E113" s="7">
        <x:v>0.26296866422960741</x:v>
      </x:c>
    </x:row>
    <x:row r="114">
      <x:c r="A114" s="2" t="s">
        <x:v>238</x:v>
      </x:c>
      <x:c r="B114" s="2" t="s">
        <x:v>240</x:v>
      </x:c>
      <x:c r="C114" s="7">
        <x:v>4.1036686316079478E-2</x:v>
      </x:c>
      <x:c r="D114" s="7">
        <x:v>0.54880536336665164</x:v>
      </x:c>
      <x:c r="E114" s="7">
        <x:v>2.6535018362252579E-2</x:v>
      </x:c>
    </x:row>
    <x:row r="115">
      <x:c r="A115" s="2" t="s">
        <x:v>238</x:v>
      </x:c>
      <x:c r="B115" s="2" t="s">
        <x:v>247</x:v>
      </x:c>
      <x:c r="C115" s="7">
        <x:v>5.3029425807842707E-2</x:v>
      </x:c>
      <x:c r="D115" s="7">
        <x:v>0.36716044231851552</x:v>
      </x:c>
      <x:c r="E115" s="7">
        <x:v>0.15425380766858579</x:v>
      </x:c>
    </x:row>
    <x:row r="116">
      <x:c r="A116" s="2" t="s">
        <x:v>246</x:v>
      </x:c>
      <x:c r="B116" s="2" t="s">
        <x:v>257</x:v>
      </x:c>
      <x:c r="C116" s="7">
        <x:v>5.553689839361136E-2</x:v>
      </x:c>
      <x:c r="D116" s="7">
        <x:v>0.33322055888169039</x:v>
      </x:c>
      <x:c r="E116" s="7">
        <x:v>9.5175567274879525E-2</x:v>
      </x:c>
    </x:row>
    <x:row r="117">
      <x:c r="A117" s="2" t="s">
        <x:v>246</x:v>
      </x:c>
      <x:c r="B117" s="2" t="s">
        <x:v>247</x:v>
      </x:c>
      <x:c r="C117" s="7">
        <x:v>3.7363783157633869E-2</x:v>
      </x:c>
      <x:c r="D117" s="7">
        <x:v>0.60810212801740982</x:v>
      </x:c>
      <x:c r="E117" s="7">
        <x:v>8.3061824013265229E-2</x:v>
      </x:c>
    </x:row>
    <x:row r="118">
      <x:c r="A118" s="2" t="s">
        <x:v>246</x:v>
      </x:c>
      <x:c r="B118" s="2" t="s">
        <x:v>244</x:v>
      </x:c>
      <x:c r="C118" s="7">
        <x:v>3.3461704329230908E-2</x:v>
      </x:c>
      <x:c r="D118" s="7">
        <x:v>0.67102881330820063</x:v>
      </x:c>
      <x:c r="E118" s="7">
        <x:v>8.1771702617507769E-2</x:v>
      </x:c>
    </x:row>
    <x:row r="119">
      <x:c r="A119" s="2" t="s">
        <x:v>246</x:v>
      </x:c>
      <x:c r="B119" s="2" t="s">
        <x:v>226</x:v>
      </x:c>
      <x:c r="C119" s="7">
        <x:v>4.703091198854379E-2</x:v>
      </x:c>
      <x:c r="D119" s="7">
        <x:v>0.45470756734456891</x:v>
      </x:c>
      <x:c r="E119" s="7">
        <x:v>0.19729481467065421</x:v>
      </x:c>
    </x:row>
    <x:row r="120">
      <x:c r="A120" s="2" t="s">
        <x:v>239</x:v>
      </x:c>
      <x:c r="B120" s="2" t="s">
        <x:v>256</x:v>
      </x:c>
      <x:c r="C120" s="7">
        <x:v>2.0082382538103741E-2</x:v>
      </x:c>
      <x:c r="D120" s="7">
        <x:v>0.86615080410222522</x:v>
      </x:c>
      <x:c r="E120" s="7">
        <x:v>0.24494211326489429</x:v>
      </x:c>
    </x:row>
    <x:row r="121">
      <x:c r="A121" s="2" t="s">
        <x:v>239</x:v>
      </x:c>
      <x:c r="B121" s="2" t="s">
        <x:v>257</x:v>
      </x:c>
      <x:c r="C121" s="7">
        <x:v>2.3339168441987801E-2</x:v>
      </x:c>
      <x:c r="D121" s="7">
        <x:v>0.82359020066499555</x:v>
      </x:c>
      <x:c r="E121" s="7">
        <x:v>0.31844050227286669</x:v>
      </x:c>
    </x:row>
    <x:row r="122">
      <x:c r="A122" s="2" t="s">
        <x:v>230</x:v>
      </x:c>
      <x:c r="B122" s="2" t="s">
        <x:v>249</x:v>
      </x:c>
      <x:c r="C122" s="7">
        <x:v>4.262415670995106E-2</x:v>
      </x:c>
      <x:c r="D122" s="7">
        <x:v>0.52344086204162188</x:v>
      </x:c>
      <x:c r="E122" s="7">
        <x:v>0.35023512463261153</x:v>
      </x:c>
    </x:row>
    <x:row r="123">
      <x:c r="A123" s="2" t="s">
        <x:v>230</x:v>
      </x:c>
      <x:c r="B123" s="2" t="s">
        <x:v>232</x:v>
      </x:c>
      <x:c r="C123" s="7">
        <x:v>3.4624073417075373E-2</x:v>
      </x:c>
      <x:c r="D123" s="7">
        <x:v>0.65237155223963894</x:v>
      </x:c>
      <x:c r="E123" s="7">
        <x:v>-0.29428838912814109</x:v>
      </x:c>
    </x:row>
    <x:row r="124">
      <x:c r="A124" s="2" t="s">
        <x:v>256</x:v>
      </x:c>
      <x:c r="B124" s="2" t="s">
        <x:v>257</x:v>
      </x:c>
      <x:c r="C124" s="7">
        <x:v>1.4247577325261839E-2</x:v>
      </x:c>
      <x:c r="D124" s="7">
        <x:v>0.93022719673063459</x:v>
      </x:c>
      <x:c r="E124" s="7">
        <x:v>0.1020995370487606</x:v>
      </x:c>
    </x:row>
    <x:row r="125">
      <x:c r="A125" s="2" t="s">
        <x:v>247</x:v>
      </x:c>
      <x:c r="B125" s="2" t="s">
        <x:v>244</x:v>
      </x:c>
      <x:c r="C125" s="7">
        <x:v>3.5530238543386237E-2</x:v>
      </x:c>
      <x:c r="D125" s="7">
        <x:v>0.63776113946228985</x:v>
      </x:c>
      <x:c r="E125" s="7">
        <x:v>0.14084333213130459</x:v>
      </x:c>
    </x:row>
    <x:row r="126">
      <x:c r="A126" s="2" t="s">
        <x:v>247</x:v>
      </x:c>
      <x:c r="B126" s="2" t="s">
        <x:v>226</x:v>
      </x:c>
      <x:c r="C126" s="7">
        <x:v>4.9112549165908737E-2</x:v>
      </x:c>
      <x:c r="D126" s="7">
        <x:v>0.42341223659371519</x:v>
      </x:c>
      <x:c r="E126" s="7">
        <x:v>0.19626508592041</x:v>
      </x:c>
    </x:row>
    <x:row r="127">
      <x:c r="A127" s="2" t="s">
        <x:v>242</x:v>
      </x:c>
      <x:c r="B127" s="2" t="s">
        <x:v>235</x:v>
      </x:c>
      <x:c r="C127" s="7">
        <x:v>3.9303568548177688E-2</x:v>
      </x:c>
      <x:c r="D127" s="7">
        <x:v>0.57671871368463268</x:v>
      </x:c>
      <x:c r="E127" s="7">
        <x:v>5.2929053727243443E-2</x:v>
      </x:c>
    </x:row>
    <x:row r="128">
      <x:c r="A128" s="2" t="s">
        <x:v>242</x:v>
      </x:c>
      <x:c r="B128" s="2" t="s">
        <x:v>251</x:v>
      </x:c>
      <x:c r="C128" s="7">
        <x:v>2.7259440923507659E-2</x:v>
      </x:c>
      <x:c r="D128" s="7">
        <x:v>0.7673917525478029</x:v>
      </x:c>
      <x:c r="E128" s="7">
        <x:v>-2.4212306826074888E-2</x:v>
      </x:c>
    </x:row>
    <x:row r="129">
      <x:c r="A129" s="2" t="s">
        <x:v>226</x:v>
      </x:c>
      <x:c r="B129" s="2" t="s">
        <x:v>253</x:v>
      </x:c>
      <x:c r="C129" s="7">
        <x:v>3.8365284782588098E-2</x:v>
      </x:c>
      <x:c r="D129" s="7">
        <x:v>0.59188958841324202</x:v>
      </x:c>
      <x:c r="E129" s="7">
        <x:v>0.20600656226068809</x:v>
      </x:c>
    </x:row>
    <x:row r="130">
      <x:c r="A130" s="2" t="s">
        <x:v>266</x:v>
      </x:c>
      <x:c r="B130" s="2" t="s">
        <x:v>267</x:v>
      </x:c>
      <x:c r="C130" s="7">
        <x:v>2.1969437482178809E-2</x:v>
      </x:c>
      <x:c r="D130" s="7">
        <x:v>0.84200438712794845</x:v>
      </x:c>
      <x:c r="E130" s="7">
        <x:v>0.625</x:v>
      </x:c>
    </x:row>
    <x:row r="131">
      <x:c r="A131" s="2" t="s">
        <x:v>266</x:v>
      </x:c>
      <x:c r="B131" s="2" t="s">
        <x:v>232</x:v>
      </x:c>
      <x:c r="C131" s="7">
        <x:v>2.0411017814984309E-2</x:v>
      </x:c>
      <x:c r="D131" s="7">
        <x:v>0.86205369335188353</x:v>
      </x:c>
      <x:c r="E131" s="7">
        <x:v>0.308795690565564</x:v>
      </x:c>
    </x:row>
    <x:row r="132">
      <x:c r="A132" s="2" t="s">
        <x:v>235</x:v>
      </x:c>
      <x:c r="B132" s="2" t="s">
        <x:v>233</x:v>
      </x:c>
      <x:c r="C132" s="7">
        <x:v>3.051493420869103E-2</x:v>
      </x:c>
      <x:c r="D132" s="7">
        <x:v>0.71765087412636219</x:v>
      </x:c>
      <x:c r="E132" s="7">
        <x:v>-0.16984998436898691</x:v>
      </x:c>
    </x:row>
    <x:row r="133">
      <x:c r="A133" s="2" t="s">
        <x:v>267</x:v>
      </x:c>
      <x:c r="B133" s="2" t="s">
        <x:v>232</x:v>
      </x:c>
      <x:c r="C133" s="7">
        <x:v>3.4774746392586563E-2</x:v>
      </x:c>
      <x:c r="D133" s="7">
        <x:v>0.64994556420414884</x:v>
      </x:c>
      <x:c r="E133" s="7">
        <x:v>0.44057387009697929</x:v>
      </x:c>
    </x:row>
    <x:row r="134">
      <x:c r="A134" s="2" t="s">
        <x:v>265</x:v>
      </x:c>
      <x:c r="B134" s="2" t="s">
        <x:v>233</x:v>
      </x:c>
      <x:c r="C134" s="7">
        <x:v>2.8673181720430079E-2</x:v>
      </x:c>
      <x:c r="D134" s="7">
        <x:v>0.74607291630940975</x:v>
      </x:c>
      <x:c r="E134" s="7">
        <x:v>0.36705140517296458</x:v>
      </x:c>
    </x:row>
    <x:row r="135">
      <x:c r="A135" s="2" t="s">
        <x:v>265</x:v>
      </x:c>
      <x:c r="B135" s="2" t="s">
        <x:v>240</x:v>
      </x:c>
      <x:c r="C135" s="7">
        <x:v>3.4702727569408787E-2</x:v>
      </x:c>
      <x:c r="D135" s="7">
        <x:v>0.65110532698915657</x:v>
      </x:c>
      <x:c r="E135" s="7">
        <x:v>0.28176150873622752</x:v>
      </x:c>
    </x:row>
    <x:row r="136">
      <x:c r="A136" s="2" t="s">
        <x:v>240</x:v>
      </x:c>
      <x:c r="B136" s="2" t="s">
        <x:v>233</x:v>
      </x:c>
      <x:c r="C136" s="7">
        <x:v>3.3644438423558021E-2</x:v>
      </x:c>
      <x:c r="D136" s="7">
        <x:v>0.66810338417922066</x:v>
      </x:c>
      <x:c r="E136" s="7">
        <x:v>0.2474675723957763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4.399999618530273"/>
  <x:cols>
    <x:col min="1" max="1" width="18" customWidth="1"/>
    <x:col min="2" max="2" width="10" customWidth="1"/>
    <x:col min="3" max="3" width="20" customWidth="1"/>
    <x:col min="4" max="4" width="21" customWidth="1"/>
    <x:col min="5" max="5" width="20" customWidth="1"/>
    <x:col min="6" max="6" width="21" customWidth="1"/>
    <x:col min="7" max="7" width="20" customWidth="1"/>
    <x:col min="8" max="8" width="21" customWidth="1"/>
    <x:col min="9" max="12" width="20" customWidth="1"/>
  </x:cols>
  <x:sheetData>
    <x:row r="1">
      <x:c r="A1" s="5" t="s">
        <x:v>218</x:v>
      </x:c>
      <x:c r="B1" s="5" t="s">
        <x:v>354</x:v>
      </x:c>
      <x:c r="C1" s="5" t="s">
        <x:v>355</x:v>
      </x:c>
      <x:c r="D1" s="5" t="s">
        <x:v>356</x:v>
      </x:c>
      <x:c r="E1" s="5" t="s">
        <x:v>357</x:v>
      </x:c>
      <x:c r="F1" s="5" t="s">
        <x:v>358</x:v>
      </x:c>
      <x:c r="G1" s="5" t="s">
        <x:v>359</x:v>
      </x:c>
      <x:c r="H1" s="5" t="s">
        <x:v>360</x:v>
      </x:c>
      <x:c r="I1" s="5" t="s">
        <x:v>361</x:v>
      </x:c>
      <x:c r="J1" s="5" t="s">
        <x:v>362</x:v>
      </x:c>
      <x:c r="K1" s="5" t="s">
        <x:v>363</x:v>
      </x:c>
      <x:c r="L1" s="5" t="s">
        <x:v>364</x:v>
      </x:c>
    </x:row>
    <x:row r="2">
      <x:c r="A2" s="6">
        <x:v>3000</x:v>
      </x:c>
      <x:c r="B2" s="6">
        <x:v>30</x:v>
      </x:c>
      <x:c r="C2" s="7">
        <x:v>0.83442307692307693</x:v>
      </x:c>
      <x:c r="D2" s="7">
        <x:v>5.451074801030651E-2</x:v>
      </x:c>
      <x:c r="E2" s="7">
        <x:v>0.92980395088626477</x:v>
      </x:c>
      <x:c r="F2" s="7">
        <x:v>2.4967615211016911E-2</x:v>
      </x:c>
      <x:c r="G2" s="7">
        <x:v>0.87263290484589184</x:v>
      </x:c>
      <x:c r="H2" s="7">
        <x:v>1.7934482130671218E-2</x:v>
      </x:c>
      <x:c r="I2" s="7">
        <x:v>0.38099312061860569</x:v>
      </x:c>
      <x:c r="J2" s="7">
        <x:v>0.14117711051935811</x:v>
      </x:c>
      <x:c r="K2" s="7">
        <x:v>0.3350389155798163</x:v>
      </x:c>
      <x:c r="L2" s="7">
        <x:v>0.1095298801548663</x:v>
      </x:c>
    </x:row>
    <x:row r="3">
      <x:c r="A3" s="6">
        <x:v>6000</x:v>
      </x:c>
      <x:c r="B3" s="6">
        <x:v>30</x:v>
      </x:c>
      <x:c r="C3" s="7">
        <x:v>0.83298076923076925</x:v>
      </x:c>
      <x:c r="D3" s="7">
        <x:v>5.4830170131243423E-2</x:v>
      </x:c>
      <x:c r="E3" s="7">
        <x:v>0.92914733876940769</x:v>
      </x:c>
      <x:c r="F3" s="7">
        <x:v>2.5023890203443731E-2</x:v>
      </x:c>
      <x:c r="G3" s="7">
        <x:v>0.87436226237818337</x:v>
      </x:c>
      <x:c r="H3" s="7">
        <x:v>2.1313975680291631E-2</x:v>
      </x:c>
      <x:c r="I3" s="7">
        <x:v>0.3873283381486215</x:v>
      </x:c>
      <x:c r="J3" s="7">
        <x:v>0.13549495750742979</x:v>
      </x:c>
      <x:c r="K3" s="7">
        <x:v>0.34362665009172338</x:v>
      </x:c>
      <x:c r="L3" s="7">
        <x:v>0.11117506268194161</x:v>
      </x:c>
    </x:row>
    <x:row r="4">
      <x:c r="A4" s="6">
        <x:v>12000</x:v>
      </x:c>
      <x:c r="B4" s="6">
        <x:v>30</x:v>
      </x:c>
      <x:c r="C4" s="7">
        <x:v>0.83211538461538459</x:v>
      </x:c>
      <x:c r="D4" s="7">
        <x:v>5.6849839078258017E-2</x:v>
      </x:c>
      <x:c r="E4" s="7">
        <x:v>0.92734065087586914</x:v>
      </x:c>
      <x:c r="F4" s="7">
        <x:v>2.7706393433516191E-2</x:v>
      </x:c>
      <x:c r="G4" s="7">
        <x:v>0.87337592994067959</x:v>
      </x:c>
      <x:c r="H4" s="7">
        <x:v>1.8884245864728099E-2</x:v>
      </x:c>
      <x:c r="I4" s="7">
        <x:v>0.40084902151942231</x:v>
      </x:c>
      <x:c r="J4" s="7">
        <x:v>0.14245733300625191</x:v>
      </x:c>
      <x:c r="K4" s="7">
        <x:v>0.35385673272881651</x:v>
      </x:c>
      <x:c r="L4" s="7">
        <x:v>0.1236656031308272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4.399999618530273"/>
  <x:cols>
    <x:col min="1" max="2" width="10" customWidth="1"/>
    <x:col min="3" max="3" width="20" customWidth="1"/>
    <x:col min="4" max="4" width="21" customWidth="1"/>
    <x:col min="5" max="5" width="20" customWidth="1"/>
    <x:col min="6" max="6" width="21" customWidth="1"/>
    <x:col min="7" max="7" width="20" customWidth="1"/>
    <x:col min="8" max="8" width="21" customWidth="1"/>
    <x:col min="9" max="11" width="20" customWidth="1"/>
    <x:col min="12" max="12" width="21" customWidth="1"/>
  </x:cols>
  <x:sheetData>
    <x:row r="1">
      <x:c r="A1" s="5" t="s">
        <x:v>216</x:v>
      </x:c>
      <x:c r="B1" s="5" t="s">
        <x:v>354</x:v>
      </x:c>
      <x:c r="C1" s="5" t="s">
        <x:v>355</x:v>
      </x:c>
      <x:c r="D1" s="5" t="s">
        <x:v>356</x:v>
      </x:c>
      <x:c r="E1" s="5" t="s">
        <x:v>357</x:v>
      </x:c>
      <x:c r="F1" s="5" t="s">
        <x:v>358</x:v>
      </x:c>
      <x:c r="G1" s="5" t="s">
        <x:v>359</x:v>
      </x:c>
      <x:c r="H1" s="5" t="s">
        <x:v>360</x:v>
      </x:c>
      <x:c r="I1" s="5" t="s">
        <x:v>361</x:v>
      </x:c>
      <x:c r="J1" s="5" t="s">
        <x:v>362</x:v>
      </x:c>
      <x:c r="K1" s="5" t="s">
        <x:v>363</x:v>
      </x:c>
      <x:c r="L1" s="5" t="s">
        <x:v>364</x:v>
      </x:c>
    </x:row>
    <x:row r="2">
      <x:c r="A2" s="6">
        <x:v>15</x:v>
      </x:c>
      <x:c r="B2" s="6">
        <x:v>30</x:v>
      </x:c>
      <x:c r="C2" s="7">
        <x:v>0.83929487179487183</x:v>
      </x:c>
      <x:c r="D2" s="7">
        <x:v>6.0210161531556471E-2</x:v>
      </x:c>
      <x:c r="E2" s="7">
        <x:v>0.93128819675052554</x:v>
      </x:c>
      <x:c r="F2" s="7">
        <x:v>2.657589243181372E-2</x:v>
      </x:c>
      <x:c r="G2" s="7">
        <x:v>0.88347505799032455</x:v>
      </x:c>
      <x:c r="H2" s="7">
        <x:v>2.8006565373714019E-2</x:v>
      </x:c>
      <x:c r="I2" s="7">
        <x:v>0.38884728239456862</x:v>
      </x:c>
      <x:c r="J2" s="7">
        <x:v>0.1482273437744189</x:v>
      </x:c>
      <x:c r="K2" s="7">
        <x:v>0.34074471494062081</x:v>
      </x:c>
      <x:c r="L2" s="7">
        <x:v>0.11200533863743541</x:v>
      </x:c>
    </x:row>
    <x:row r="3">
      <x:c r="A3" s="6">
        <x:v>17</x:v>
      </x:c>
      <x:c r="B3" s="6">
        <x:v>30</x:v>
      </x:c>
      <x:c r="C3" s="7">
        <x:v>0.83807692307692305</x:v>
      </x:c>
      <x:c r="D3" s="7">
        <x:v>5.7922617221589853E-2</x:v>
      </x:c>
      <x:c r="E3" s="7">
        <x:v>0.93139526401724737</x:v>
      </x:c>
      <x:c r="F3" s="7">
        <x:v>2.5506749776469821E-2</x:v>
      </x:c>
      <x:c r="G3" s="7">
        <x:v>0.88132604294317984</x:v>
      </x:c>
      <x:c r="H3" s="7">
        <x:v>2.765021921334004E-2</x:v>
      </x:c>
      <x:c r="I3" s="7">
        <x:v>0.38843696773347891</x:v>
      </x:c>
      <x:c r="J3" s="7">
        <x:v>0.13624020925228689</x:v>
      </x:c>
      <x:c r="K3" s="7">
        <x:v>0.34463603768802498</x:v>
      </x:c>
      <x:c r="L3" s="7">
        <x:v>0.1058768120794176</x:v>
      </x:c>
    </x:row>
    <x:row r="4">
      <x:c r="A4" s="6">
        <x:v>19</x:v>
      </x:c>
      <x:c r="B4" s="6">
        <x:v>30</x:v>
      </x:c>
      <x:c r="C4" s="7">
        <x:v>0.84583333333333333</x:v>
      </x:c>
      <x:c r="D4" s="7">
        <x:v>5.5912724326555203E-2</x:v>
      </x:c>
      <x:c r="E4" s="7">
        <x:v>0.9340754704082066</x:v>
      </x:c>
      <x:c r="F4" s="7">
        <x:v>2.495922180270763E-2</x:v>
      </x:c>
      <x:c r="G4" s="7">
        <x:v>0.88422357536176877</x:v>
      </x:c>
      <x:c r="H4" s="7">
        <x:v>2.7947301974162331E-2</x:v>
      </x:c>
      <x:c r="I4" s="7">
        <x:v>0.38983400472161472</x:v>
      </x:c>
      <x:c r="J4" s="7">
        <x:v>0.14160483992719089</x:v>
      </x:c>
      <x:c r="K4" s="7">
        <x:v>0.34116668223215729</x:v>
      </x:c>
      <x:c r="L4" s="7">
        <x:v>9.9413044574958809E-2</x:v>
      </x:c>
    </x:row>
    <x:row r="5">
      <x:c r="A5" s="6">
        <x:v>21</x:v>
      </x:c>
      <x:c r="B5" s="6">
        <x:v>30</x:v>
      </x:c>
      <x:c r="C5" s="7">
        <x:v>0.83618589743589733</x:v>
      </x:c>
      <x:c r="D5" s="7">
        <x:v>5.9541262282850449E-2</x:v>
      </x:c>
      <x:c r="E5" s="7">
        <x:v>0.9302912227839355</x:v>
      </x:c>
      <x:c r="F5" s="7">
        <x:v>2.6990248359315058E-2</x:v>
      </x:c>
      <x:c r="G5" s="7">
        <x:v>0.88215798176870364</x:v>
      </x:c>
      <x:c r="H5" s="7">
        <x:v>2.7813173686012681E-2</x:v>
      </x:c>
      <x:c r="I5" s="7">
        <x:v>0.39304686178537362</x:v>
      </x:c>
      <x:c r="J5" s="7">
        <x:v>0.15120742922359351</x:v>
      </x:c>
      <x:c r="K5" s="7">
        <x:v>0.34892009864381929</x:v>
      </x:c>
      <x:c r="L5" s="7">
        <x:v>0.1028897822934436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4.399999618530273"/>
  <x:cols>
    <x:col min="1" max="1" width="12" customWidth="1"/>
    <x:col min="2" max="2" width="18" customWidth="1"/>
    <x:col min="3" max="3" width="13" customWidth="1"/>
    <x:col min="4" max="4" width="10" customWidth="1"/>
    <x:col min="5" max="5" width="40" customWidth="1"/>
    <x:col min="6" max="8" width="20" customWidth="1"/>
    <x:col min="9" max="10" width="21" customWidth="1"/>
    <x:col min="11" max="11" width="23" customWidth="1"/>
    <x:col min="12" max="12" width="22" customWidth="1"/>
    <x:col min="13" max="13" width="23" customWidth="1"/>
  </x:cols>
  <x:sheetData>
    <x:row r="1">
      <x:c r="A1" s="5" t="s">
        <x:v>365</x:v>
      </x:c>
      <x:c r="B1" s="5" t="s">
        <x:v>366</x:v>
      </x:c>
      <x:c r="C1" s="5" t="s">
        <x:v>367</x:v>
      </x:c>
      <x:c r="D1" s="5" t="s">
        <x:v>222</x:v>
      </x:c>
      <x:c r="E1" s="5" t="s">
        <x:v>368</x:v>
      </x:c>
      <x:c r="F1" s="5" t="s">
        <x:v>369</x:v>
      </x:c>
      <x:c r="G1" s="5" t="s">
        <x:v>370</x:v>
      </x:c>
      <x:c r="H1" s="5" t="s">
        <x:v>371</x:v>
      </x:c>
      <x:c r="I1" s="5" t="s">
        <x:v>212</x:v>
      </x:c>
      <x:c r="J1" s="5" t="s">
        <x:v>372</x:v>
      </x:c>
      <x:c r="K1" s="5" t="s">
        <x:v>373</x:v>
      </x:c>
      <x:c r="L1" s="5" t="s">
        <x:v>374</x:v>
      </x:c>
      <x:c r="M1" s="5" t="s">
        <x:v>375</x:v>
      </x:c>
    </x:row>
    <x:row r="2">
      <x:c r="A2" s="2" t="s">
        <x:v>376</x:v>
      </x:c>
      <x:c r="B2" s="2" t="s">
        <x:v>218</x:v>
      </x:c>
      <x:c r="C2" s="6">
        <x:v>3000</x:v>
      </x:c>
      <x:c r="D2" s="6">
        <x:v>42</x:v>
      </x:c>
      <x:c r="E2" s="2" t="s">
        <x:v>377</x:v>
      </x:c>
      <x:c r="F2" s="7">
        <x:v>0.75384615384615383</x:v>
      </x:c>
      <x:c r="G2" s="7">
        <x:v>0.88370374074845992</x:v>
      </x:c>
      <x:c r="H2" s="7">
        <x:v>0.86021505376344087</x:v>
      </x:c>
      <x:c r="I2" s="7">
        <x:v>-1.161425673820488</x:v>
      </x:c>
      <x:c r="J2" s="7">
        <x:v>0.28906123455313221</x:v>
      </x:c>
      <x:c r="K2" s="7">
        <x:v>7.0443279404684922E-2</x:v>
      </x:c>
      <x:c r="L2" s="7">
        <x:v>0.31844972084532241</x:v>
      </x:c>
      <x:c r="M2" s="7">
        <x:v>4.5213523380832413E-2</x:v>
      </x:c>
    </x:row>
    <x:row r="3">
      <x:c r="A3" s="2" t="s">
        <x:v>376</x:v>
      </x:c>
      <x:c r="B3" s="2" t="s">
        <x:v>218</x:v>
      </x:c>
      <x:c r="C3" s="6">
        <x:v>3000</x:v>
      </x:c>
      <x:c r="D3" s="6">
        <x:v>43</x:v>
      </x:c>
      <x:c r="E3" s="2" t="s">
        <x:v>378</x:v>
      </x:c>
      <x:c r="F3" s="7">
        <x:v>0.84230769230769231</x:v>
      </x:c>
      <x:c r="G3" s="7">
        <x:v>0.93282299002291225</x:v>
      </x:c>
      <x:c r="H3" s="7">
        <x:v>0.86021505376344087</x:v>
      </x:c>
      <x:c r="I3" s="7">
        <x:v>-1.0698585810055239</x:v>
      </x:c>
      <x:c r="J3" s="7">
        <x:v>0.18303558396432659</x:v>
      </x:c>
      <x:c r="K3" s="7">
        <x:v>0.25826848771978012</x:v>
      </x:c>
      <x:c r="L3" s="7">
        <x:v>0.20538352611847849</x:v>
      </x:c>
      <x:c r="M3" s="7">
        <x:v>0.20359553297958091</x:v>
      </x:c>
    </x:row>
    <x:row r="4">
      <x:c r="A4" s="2" t="s">
        <x:v>376</x:v>
      </x:c>
      <x:c r="B4" s="2" t="s">
        <x:v>218</x:v>
      </x:c>
      <x:c r="C4" s="6">
        <x:v>3000</x:v>
      </x:c>
      <x:c r="D4" s="6">
        <x:v>44</x:v>
      </x:c>
      <x:c r="E4" s="2" t="s">
        <x:v>379</x:v>
      </x:c>
      <x:c r="F4" s="7">
        <x:v>0.87884615384615383</x:v>
      </x:c>
      <x:c r="G4" s="7">
        <x:v>0.95388967701671468</x:v>
      </x:c>
      <x:c r="H4" s="7">
        <x:v>0.89743589743589747</x:v>
      </x:c>
      <x:c r="I4" s="7">
        <x:v>-1.2893643596129001</x:v>
      </x:c>
      <x:c r="J4" s="7">
        <x:v>0.19983107665485281</x:v>
      </x:c>
      <x:c r="K4" s="7">
        <x:v>0.21635400828863771</x:v>
      </x:c>
      <x:c r="L4" s="7">
        <x:v>0.25671300383035089</x:v>
      </x:c>
      <x:c r="M4" s="7">
        <x:v>0.10981196299082439</x:v>
      </x:c>
    </x:row>
    <x:row r="5">
      <x:c r="A5" s="2" t="s">
        <x:v>376</x:v>
      </x:c>
      <x:c r="B5" s="2" t="s">
        <x:v>218</x:v>
      </x:c>
      <x:c r="C5" s="6">
        <x:v>3000</x:v>
      </x:c>
      <x:c r="D5" s="6">
        <x:v>45</x:v>
      </x:c>
      <x:c r="E5" s="2" t="s">
        <x:v>380</x:v>
      </x:c>
      <x:c r="F5" s="7">
        <x:v>0.86249999999999993</x:v>
      </x:c>
      <x:c r="G5" s="7">
        <x:v>0.94117093501219151</x:v>
      </x:c>
      <x:c r="H5" s="7">
        <x:v>0.88</x:v>
      </x:c>
      <x:c r="I5" s="7">
        <x:v>-1.432242819503762</x:v>
      </x:c>
      <x:c r="J5" s="7">
        <x:v>0.51754496012424578</x:v>
      </x:c>
      <x:c r="K5" s="7">
        <x:v>6.2614566803005168E-4</x:v>
      </x:c>
      <x:c r="L5" s="7">
        <x:v>0.41556830714590498</x:v>
      </x:c>
      <x:c r="M5" s="7">
        <x:v>7.658933885300488E-3</x:v>
      </x:c>
    </x:row>
    <x:row r="6">
      <x:c r="A6" s="2" t="s">
        <x:v>376</x:v>
      </x:c>
      <x:c r="B6" s="2" t="s">
        <x:v>218</x:v>
      </x:c>
      <x:c r="C6" s="6">
        <x:v>3000</x:v>
      </x:c>
      <x:c r="D6" s="6">
        <x:v>46</x:v>
      </x:c>
      <x:c r="E6" s="2" t="s">
        <x:v>381</x:v>
      </x:c>
      <x:c r="F6" s="7">
        <x:v>0.85480769230769238</x:v>
      </x:c>
      <x:c r="G6" s="7">
        <x:v>0.93804087551792026</x:v>
      </x:c>
      <x:c r="H6" s="7">
        <x:v>0.86021505376344087</x:v>
      </x:c>
      <x:c r="I6" s="7">
        <x:v>-1.1874892186664221</x:v>
      </x:c>
      <x:c r="J6" s="7">
        <x:v>0.45993484727230011</x:v>
      </x:c>
      <x:c r="K6" s="7">
        <x:v>2.8269751949463909E-3</x:v>
      </x:c>
      <x:c r="L6" s="7">
        <x:v>0.38269233261731961</x:v>
      </x:c>
      <x:c r="M6" s="7">
        <x:v>1.480193941898883E-2</x:v>
      </x:c>
    </x:row>
    <x:row r="7">
      <x:c r="A7" s="2" t="s">
        <x:v>376</x:v>
      </x:c>
      <x:c r="B7" s="2" t="s">
        <x:v>218</x:v>
      </x:c>
      <x:c r="C7" s="6">
        <x:v>3000</x:v>
      </x:c>
      <x:c r="D7" s="6">
        <x:v>47</x:v>
      </x:c>
      <x:c r="E7" s="2" t="s">
        <x:v>382</x:v>
      </x:c>
      <x:c r="F7" s="7">
        <x:v>0.87115384615384617</x:v>
      </x:c>
      <x:c r="G7" s="7">
        <x:v>0.94152821684296317</x:v>
      </x:c>
      <x:c r="H7" s="7">
        <x:v>0.86111111111111116</x:v>
      </x:c>
      <x:c r="I7" s="7">
        <x:v>-1.3333683195251249</x:v>
      </x:c>
      <x:c r="J7" s="7">
        <x:v>0.326986370418132</x:v>
      </x:c>
      <x:c r="K7" s="7">
        <x:v>3.9450094160798269E-2</x:v>
      </x:c>
      <x:c r="L7" s="7">
        <x:v>0.40601647078815079</x:v>
      </x:c>
      <x:c r="M7" s="7">
        <x:v>9.336385125847977E-3</x:v>
      </x:c>
    </x:row>
    <x:row r="8">
      <x:c r="A8" s="2" t="s">
        <x:v>376</x:v>
      </x:c>
      <x:c r="B8" s="2" t="s">
        <x:v>218</x:v>
      </x:c>
      <x:c r="C8" s="6">
        <x:v>3000</x:v>
      </x:c>
      <x:c r="D8" s="6">
        <x:v>48</x:v>
      </x:c>
      <x:c r="E8" s="2" t="s">
        <x:v>383</x:v>
      </x:c>
      <x:c r="F8" s="7">
        <x:v>0.82115384615384612</x:v>
      </x:c>
      <x:c r="G8" s="7">
        <x:v>0.92508056107644421</x:v>
      </x:c>
      <x:c r="H8" s="7">
        <x:v>0.86842105263157898</x:v>
      </x:c>
      <x:c r="I8" s="7">
        <x:v>-1.243966318221039</x:v>
      </x:c>
      <x:c r="J8" s="7">
        <x:v>0.59693571736613293</x:v>
      </x:c>
      <x:c r="K8" s="7">
        <x:v>4.786096657751229E-5</x:v>
      </x:c>
      <x:c r="L8" s="7">
        <x:v>0.47161952978924487</x:v>
      </x:c>
      <x:c r="M8" s="7">
        <x:v>2.1258842023507011E-3</x:v>
      </x:c>
    </x:row>
    <x:row r="9">
      <x:c r="A9" s="2" t="s">
        <x:v>376</x:v>
      </x:c>
      <x:c r="B9" s="2" t="s">
        <x:v>218</x:v>
      </x:c>
      <x:c r="C9" s="6">
        <x:v>3000</x:v>
      </x:c>
      <x:c r="D9" s="6">
        <x:v>49</x:v>
      </x:c>
      <x:c r="E9" s="2" t="s">
        <x:v>384</x:v>
      </x:c>
      <x:c r="F9" s="7">
        <x:v>0.79230769230769216</x:v>
      </x:c>
      <x:c r="G9" s="7">
        <x:v>0.90370115098532122</x:v>
      </x:c>
      <x:c r="H9" s="7">
        <x:v>0.86021505376344087</x:v>
      </x:c>
      <x:c r="I9" s="7">
        <x:v>-1.1563385858709629</x:v>
      </x:c>
      <x:c r="J9" s="7">
        <x:v>0.44870771971837098</x:v>
      </x:c>
      <x:c r="K9" s="7">
        <x:v>3.6836328435337139E-3</x:v>
      </x:c>
      <x:c r="L9" s="7">
        <x:v>0.32531997386375477</x:v>
      </x:c>
      <x:c r="M9" s="7">
        <x:v>4.0525437866150711E-2</x:v>
      </x:c>
    </x:row>
    <x:row r="10">
      <x:c r="A10" s="2" t="s">
        <x:v>376</x:v>
      </x:c>
      <x:c r="B10" s="2" t="s">
        <x:v>218</x:v>
      </x:c>
      <x:c r="C10" s="6">
        <x:v>3000</x:v>
      </x:c>
      <x:c r="D10" s="6">
        <x:v>50</x:v>
      </x:c>
      <x:c r="E10" s="2" t="s">
        <x:v>385</x:v>
      </x:c>
      <x:c r="F10" s="7">
        <x:v>0.86346153846153839</x:v>
      </x:c>
      <x:c r="G10" s="7">
        <x:v>0.94503876909630158</x:v>
      </x:c>
      <x:c r="H10" s="7">
        <x:v>0.88</x:v>
      </x:c>
      <x:c r="I10" s="7">
        <x:v>-1.4045150140206459</x:v>
      </x:c>
      <x:c r="J10" s="7">
        <x:v>0.14560556479949691</x:v>
      </x:c>
      <x:c r="K10" s="7">
        <x:v>0.36999653749008948</x:v>
      </x:c>
      <x:c r="L10" s="7">
        <x:v>0.2306212727026791</x:v>
      </x:c>
      <x:c r="M10" s="7">
        <x:v>0.15222755056591639</x:v>
      </x:c>
    </x:row>
    <x:row r="11">
      <x:c r="A11" s="2" t="s">
        <x:v>376</x:v>
      </x:c>
      <x:c r="B11" s="2" t="s">
        <x:v>218</x:v>
      </x:c>
      <x:c r="C11" s="6">
        <x:v>3000</x:v>
      </x:c>
      <x:c r="D11" s="6">
        <x:v>51</x:v>
      </x:c>
      <x:c r="E11" s="2" t="s">
        <x:v>386</x:v>
      </x:c>
      <x:c r="F11" s="7">
        <x:v>0.74519230769230771</x:v>
      </x:c>
      <x:c r="G11" s="7">
        <x:v>0.87464160249038225</x:v>
      </x:c>
      <x:c r="H11" s="7">
        <x:v>0.86021505376344087</x:v>
      </x:c>
      <x:c r="I11" s="7">
        <x:v>-0.98254131866036454</x:v>
      </x:c>
      <x:c r="J11" s="7">
        <x:v>0.20001087216069499</x:v>
      </x:c>
      <x:c r="K11" s="7">
        <x:v>0.2159324153071818</x:v>
      </x:c>
      <x:c r="L11" s="7">
        <x:v>-2.089749114904799E-2</x:v>
      </x:c>
      <x:c r="M11" s="7">
        <x:v>0.89815675460348077</x:v>
      </x:c>
    </x:row>
    <x:row r="12">
      <x:c r="A12" s="2" t="s">
        <x:v>376</x:v>
      </x:c>
      <x:c r="B12" s="2" t="s">
        <x:v>218</x:v>
      </x:c>
      <x:c r="C12" s="6">
        <x:v>3000</x:v>
      </x:c>
      <x:c r="D12" s="6">
        <x:v>52</x:v>
      </x:c>
      <x:c r="E12" s="2" t="s">
        <x:v>387</x:v>
      </x:c>
      <x:c r="F12" s="7">
        <x:v>0.89326923076923082</x:v>
      </x:c>
      <x:c r="G12" s="7">
        <x:v>0.95948654901323427</x:v>
      </x:c>
      <x:c r="H12" s="7">
        <x:v>0.88607594936708856</x:v>
      </x:c>
      <x:c r="I12" s="7">
        <x:v>-1.328365488509242</x:v>
      </x:c>
      <x:c r="J12" s="7">
        <x:v>0.48525842987878809</x:v>
      </x:c>
      <x:c r="K12" s="7">
        <x:v>1.50482207520521E-3</x:v>
      </x:c>
      <x:c r="L12" s="7">
        <x:v>0.36529659641234191</x:v>
      </x:c>
      <x:c r="M12" s="7">
        <x:v>2.045900600167223E-2</x:v>
      </x:c>
    </x:row>
    <x:row r="13">
      <x:c r="A13" s="2" t="s">
        <x:v>376</x:v>
      </x:c>
      <x:c r="B13" s="2" t="s">
        <x:v>218</x:v>
      </x:c>
      <x:c r="C13" s="6">
        <x:v>3000</x:v>
      </x:c>
      <x:c r="D13" s="6">
        <x:v>53</x:v>
      </x:c>
      <x:c r="E13" s="2" t="s">
        <x:v>388</x:v>
      </x:c>
      <x:c r="F13" s="7">
        <x:v>0.80961538461538463</x:v>
      </x:c>
      <x:c r="G13" s="7">
        <x:v>0.92604375816571405</x:v>
      </x:c>
      <x:c r="H13" s="7">
        <x:v>0.86842105263157898</x:v>
      </x:c>
      <x:c r="I13" s="7">
        <x:v>-1.032655116376926</x:v>
      </x:c>
      <x:c r="J13" s="7">
        <x:v>0.30229600692445302</x:v>
      </x:c>
      <x:c r="K13" s="7">
        <x:v>5.7975172974058652E-2</x:v>
      </x:c>
      <x:c r="L13" s="7">
        <x:v>0.31854687215484018</x:v>
      </x:c>
      <x:c r="M13" s="7">
        <x:v>4.5144298693172623E-2</x:v>
      </x:c>
    </x:row>
    <x:row r="14">
      <x:c r="A14" s="2" t="s">
        <x:v>376</x:v>
      </x:c>
      <x:c r="B14" s="2" t="s">
        <x:v>218</x:v>
      </x:c>
      <x:c r="C14" s="6">
        <x:v>3000</x:v>
      </x:c>
      <x:c r="D14" s="6">
        <x:v>54</x:v>
      </x:c>
      <x:c r="E14" s="2" t="s">
        <x:v>389</x:v>
      </x:c>
      <x:c r="F14" s="7">
        <x:v>0.7846153846153846</x:v>
      </x:c>
      <x:c r="G14" s="7">
        <x:v>0.91268300500123167</x:v>
      </x:c>
      <x:c r="H14" s="7">
        <x:v>0.86021505376344087</x:v>
      </x:c>
      <x:c r="I14" s="7">
        <x:v>-1.1139480146375169</x:v>
      </x:c>
      <x:c r="J14" s="7">
        <x:v>0.40242757617741498</x:v>
      </x:c>
      <x:c r="K14" s="7">
        <x:v>1.004328241285448E-2</x:v>
      </x:c>
      <x:c r="L14" s="7">
        <x:v>0.29986282991089142</x:v>
      </x:c>
      <x:c r="M14" s="7">
        <x:v>6.0124627611928057E-2</x:v>
      </x:c>
    </x:row>
    <x:row r="15">
      <x:c r="A15" s="2" t="s">
        <x:v>376</x:v>
      </x:c>
      <x:c r="B15" s="2" t="s">
        <x:v>218</x:v>
      </x:c>
      <x:c r="C15" s="6">
        <x:v>3000</x:v>
      </x:c>
      <x:c r="D15" s="6">
        <x:v>55</x:v>
      </x:c>
      <x:c r="E15" s="2" t="s">
        <x:v>390</x:v>
      </x:c>
      <x:c r="F15" s="7">
        <x:v>0.85096153846153844</x:v>
      </x:c>
      <x:c r="G15" s="7">
        <x:v>0.93625794541039342</x:v>
      </x:c>
      <x:c r="H15" s="7">
        <x:v>0.86021505376344087</x:v>
      </x:c>
      <x:c r="I15" s="7">
        <x:v>-0.95949171749916606</x:v>
      </x:c>
      <x:c r="J15" s="7">
        <x:v>0.50887607675574253</x:v>
      </x:c>
      <x:c r="K15" s="7">
        <x:v>7.9913082805609526E-4</x:v>
      </x:c>
      <x:c r="L15" s="7">
        <x:v>0.36322811089866869</x:v>
      </x:c>
      <x:c r="M15" s="7">
        <x:v>2.1238487517965182E-2</x:v>
      </x:c>
    </x:row>
    <x:row r="16">
      <x:c r="A16" s="2" t="s">
        <x:v>376</x:v>
      </x:c>
      <x:c r="B16" s="2" t="s">
        <x:v>218</x:v>
      </x:c>
      <x:c r="C16" s="6">
        <x:v>3000</x:v>
      </x:c>
      <x:c r="D16" s="6">
        <x:v>56</x:v>
      </x:c>
      <x:c r="E16" s="2" t="s">
        <x:v>391</x:v>
      </x:c>
      <x:c r="F16" s="7">
        <x:v>0.94134615384615383</x:v>
      </x:c>
      <x:c r="G16" s="7">
        <x:v>0.97711125221738437</x:v>
      </x:c>
      <x:c r="H16" s="7">
        <x:v>0.92500000000000004</x:v>
      </x:c>
      <x:c r="I16" s="7">
        <x:v>-0.89450604779905696</x:v>
      </x:c>
      <x:c r="J16" s="7">
        <x:v>0.46459909604804939</x:v>
      </x:c>
      <x:c r="K16" s="7">
        <x:v>2.525961619096009E-3</x:v>
      </x:c>
      <x:c r="L16" s="7">
        <x:v>0.36145301885824271</x:v>
      </x:c>
      <x:c r="M16" s="7">
        <x:v>2.192705459808059E-2</x:v>
      </x:c>
    </x:row>
    <x:row r="17">
      <x:c r="A17" s="2" t="s">
        <x:v>376</x:v>
      </x:c>
      <x:c r="B17" s="2" t="s">
        <x:v>218</x:v>
      </x:c>
      <x:c r="C17" s="6">
        <x:v>3000</x:v>
      </x:c>
      <x:c r="D17" s="6">
        <x:v>57</x:v>
      </x:c>
      <x:c r="E17" s="2" t="s">
        <x:v>392</x:v>
      </x:c>
      <x:c r="F17" s="7">
        <x:v>0.76923076923076938</x:v>
      </x:c>
      <x:c r="G17" s="7">
        <x:v>0.91250736722519121</x:v>
      </x:c>
      <x:c r="H17" s="7">
        <x:v>0.86021505376344087</x:v>
      </x:c>
      <x:c r="I17" s="7">
        <x:v>-1.196512273941688</x:v>
      </x:c>
      <x:c r="J17" s="7">
        <x:v>0.44520380417769317</x:v>
      </x:c>
      <x:c r="K17" s="7">
        <x:v>3.9937142384325391E-3</x:v>
      </x:c>
      <x:c r="L17" s="7">
        <x:v>0.41125366790834228</x:v>
      </x:c>
      <x:c r="M17" s="7">
        <x:v>8.3814546378772215E-3</x:v>
      </x:c>
    </x:row>
    <x:row r="18">
      <x:c r="A18" s="2" t="s">
        <x:v>376</x:v>
      </x:c>
      <x:c r="B18" s="2" t="s">
        <x:v>218</x:v>
      </x:c>
      <x:c r="C18" s="6">
        <x:v>3000</x:v>
      </x:c>
      <x:c r="D18" s="6">
        <x:v>58</x:v>
      </x:c>
      <x:c r="E18" s="2" t="s">
        <x:v>393</x:v>
      </x:c>
      <x:c r="F18" s="7">
        <x:v>0.74230769230769222</x:v>
      </x:c>
      <x:c r="G18" s="7">
        <x:v>0.88739543284165368</x:v>
      </x:c>
      <x:c r="H18" s="7">
        <x:v>0.86021505376344087</x:v>
      </x:c>
      <x:c r="I18" s="7">
        <x:v>-1.2198764560948661</x:v>
      </x:c>
      <x:c r="J18" s="7">
        <x:v>0.40981722115595642</x:v>
      </x:c>
      <x:c r="K18" s="7">
        <x:v>8.6346318670127865E-3</x:v>
      </x:c>
      <x:c r="L18" s="7">
        <x:v>0.38714110249665712</x:v>
      </x:c>
      <x:c r="M18" s="7">
        <x:v>1.3589316551161299E-2</x:v>
      </x:c>
    </x:row>
    <x:row r="19">
      <x:c r="A19" s="2" t="s">
        <x:v>376</x:v>
      </x:c>
      <x:c r="B19" s="2" t="s">
        <x:v>218</x:v>
      </x:c>
      <x:c r="C19" s="6">
        <x:v>3000</x:v>
      </x:c>
      <x:c r="D19" s="6">
        <x:v>59</x:v>
      </x:c>
      <x:c r="E19" s="2" t="s">
        <x:v>394</x:v>
      </x:c>
      <x:c r="F19" s="7">
        <x:v>0.85769230769230764</x:v>
      </x:c>
      <x:c r="G19" s="7">
        <x:v>0.94275908676882514</x:v>
      </x:c>
      <x:c r="H19" s="7">
        <x:v>0.86842105263157898</x:v>
      </x:c>
      <x:c r="I19" s="7">
        <x:v>-1.4259816199109661</x:v>
      </x:c>
      <x:c r="J19" s="7">
        <x:v>0.50162433919619953</x:v>
      </x:c>
      <x:c r="K19" s="7">
        <x:v>9.7524920398078525E-4</x:v>
      </x:c>
      <x:c r="L19" s="7">
        <x:v>0.41615853280054821</x:v>
      </x:c>
      <x:c r="M19" s="7">
        <x:v>7.564388895121477E-3</x:v>
      </x:c>
    </x:row>
    <x:row r="20">
      <x:c r="A20" s="2" t="s">
        <x:v>376</x:v>
      </x:c>
      <x:c r="B20" s="2" t="s">
        <x:v>218</x:v>
      </x:c>
      <x:c r="C20" s="6">
        <x:v>3000</x:v>
      </x:c>
      <x:c r="D20" s="6">
        <x:v>60</x:v>
      </x:c>
      <x:c r="E20" s="2" t="s">
        <x:v>395</x:v>
      </x:c>
      <x:c r="F20" s="7">
        <x:v>0.90096153846153848</x:v>
      </x:c>
      <x:c r="G20" s="7">
        <x:v>0.95813824861705699</x:v>
      </x:c>
      <x:c r="H20" s="7">
        <x:v>0.89473684210526316</x:v>
      </x:c>
      <x:c r="I20" s="7">
        <x:v>-1.26277199016513</x:v>
      </x:c>
      <x:c r="J20" s="7">
        <x:v>0.32268416764974611</x:v>
      </x:c>
      <x:c r="K20" s="7">
        <x:v>4.2274946594356141E-2</x:v>
      </x:c>
      <x:c r="L20" s="7">
        <x:v>0.36450194206442388</x:v>
      </x:c>
      <x:c r="M20" s="7">
        <x:v>2.0755580021034711E-2</x:v>
      </x:c>
    </x:row>
    <x:row r="21">
      <x:c r="A21" s="2" t="s">
        <x:v>376</x:v>
      </x:c>
      <x:c r="B21" s="2" t="s">
        <x:v>218</x:v>
      </x:c>
      <x:c r="C21" s="6">
        <x:v>3000</x:v>
      </x:c>
      <x:c r="D21" s="6">
        <x:v>61</x:v>
      </x:c>
      <x:c r="E21" s="2" t="s">
        <x:v>396</x:v>
      </x:c>
      <x:c r="F21" s="7">
        <x:v>0.82980769230769225</x:v>
      </x:c>
      <x:c r="G21" s="7">
        <x:v>0.92816253651413683</x:v>
      </x:c>
      <x:c r="H21" s="7">
        <x:v>0.86842105263157898</x:v>
      </x:c>
      <x:c r="I21" s="7">
        <x:v>-1.2368349955270499</x:v>
      </x:c>
      <x:c r="J21" s="7">
        <x:v>0.21916083073826079</x:v>
      </x:c>
      <x:c r="K21" s="7">
        <x:v>0.1742331526598663</x:v>
      </x:c>
      <x:c r="L21" s="7">
        <x:v>0.29052496577889159</x:v>
      </x:c>
      <x:c r="M21" s="7">
        <x:v>6.8968495426871168E-2</x:v>
      </x:c>
    </x:row>
    <x:row r="22">
      <x:c r="A22" s="2" t="s">
        <x:v>376</x:v>
      </x:c>
      <x:c r="B22" s="2" t="s">
        <x:v>218</x:v>
      </x:c>
      <x:c r="C22" s="6">
        <x:v>3000</x:v>
      </x:c>
      <x:c r="D22" s="6">
        <x:v>62</x:v>
      </x:c>
      <x:c r="E22" s="2" t="s">
        <x:v>397</x:v>
      </x:c>
      <x:c r="F22" s="7">
        <x:v>0.85865384615384621</x:v>
      </x:c>
      <x:c r="G22" s="7">
        <x:v>0.94763265783445283</x:v>
      </x:c>
      <x:c r="H22" s="7">
        <x:v>0.86486486486486491</x:v>
      </x:c>
      <x:c r="I22" s="7">
        <x:v>-1.0236362837957971</x:v>
      </x:c>
      <x:c r="J22" s="7">
        <x:v>0.42864599023306987</x:v>
      </x:c>
      <x:c r="K22" s="7">
        <x:v>5.7865180091037378E-3</x:v>
      </x:c>
      <x:c r="L22" s="7">
        <x:v>0.40355969731978558</x:v>
      </x:c>
      <x:c r="M22" s="7">
        <x:v>9.8155119680242049E-3</x:v>
      </x:c>
    </x:row>
    <x:row r="23">
      <x:c r="A23" s="2" t="s">
        <x:v>376</x:v>
      </x:c>
      <x:c r="B23" s="2" t="s">
        <x:v>218</x:v>
      </x:c>
      <x:c r="C23" s="6">
        <x:v>3000</x:v>
      </x:c>
      <x:c r="D23" s="6">
        <x:v>63</x:v>
      </x:c>
      <x:c r="E23" s="2" t="s">
        <x:v>398</x:v>
      </x:c>
      <x:c r="F23" s="7">
        <x:v>0.9</x:v>
      </x:c>
      <x:c r="G23" s="7">
        <x:v>0.95094339622641511</x:v>
      </x:c>
      <x:c r="H23" s="7">
        <x:v>0.88888888888888884</x:v>
      </x:c>
      <x:c r="I23" s="7">
        <x:v>-0.9138917846257063</x:v>
      </x:c>
      <x:c r="J23" s="7">
        <x:v>0.4112859450191968</x:v>
      </x:c>
      <x:c r="K23" s="7">
        <x:v>8.3758397107941366E-3</x:v>
      </x:c>
      <x:c r="L23" s="7">
        <x:v>0.3350315711045842</x:v>
      </x:c>
      <x:c r="M23" s="7">
        <x:v>3.4580580670723553E-2</x:v>
      </x:c>
    </x:row>
    <x:row r="24">
      <x:c r="A24" s="2" t="s">
        <x:v>376</x:v>
      </x:c>
      <x:c r="B24" s="2" t="s">
        <x:v>218</x:v>
      </x:c>
      <x:c r="C24" s="6">
        <x:v>3000</x:v>
      </x:c>
      <x:c r="D24" s="6">
        <x:v>64</x:v>
      </x:c>
      <x:c r="E24" s="2" t="s">
        <x:v>399</x:v>
      </x:c>
      <x:c r="F24" s="7">
        <x:v>0.91730769230769238</x:v>
      </x:c>
      <x:c r="G24" s="7">
        <x:v>0.96249326145552572</x:v>
      </x:c>
      <x:c r="H24" s="7">
        <x:v>0.90666666666666662</x:v>
      </x:c>
      <x:c r="I24" s="7">
        <x:v>-1.2157228265830371</x:v>
      </x:c>
      <x:c r="J24" s="7">
        <x:v>0.15287782002515951</x:v>
      </x:c>
      <x:c r="K24" s="7">
        <x:v>0.34630722560639171</x:v>
      </x:c>
      <x:c r="L24" s="7">
        <x:v>6.7891940492663824E-2</x:v>
      </x:c>
      <x:c r="M24" s="7">
        <x:v>0.67722607242453003</x:v>
      </x:c>
    </x:row>
    <x:row r="25">
      <x:c r="A25" s="2" t="s">
        <x:v>376</x:v>
      </x:c>
      <x:c r="B25" s="2" t="s">
        <x:v>218</x:v>
      </x:c>
      <x:c r="C25" s="6">
        <x:v>3000</x:v>
      </x:c>
      <x:c r="D25" s="6">
        <x:v>65</x:v>
      </x:c>
      <x:c r="E25" s="2" t="s">
        <x:v>400</x:v>
      </x:c>
      <x:c r="F25" s="7">
        <x:v>0.88942307692307687</x:v>
      </x:c>
      <x:c r="G25" s="7">
        <x:v>0.95332561083394041</x:v>
      </x:c>
      <x:c r="H25" s="7">
        <x:v>0.90909090909090906</x:v>
      </x:c>
      <x:c r="I25" s="7">
        <x:v>-1.192939429179674</x:v>
      </x:c>
      <x:c r="J25" s="7">
        <x:v>0.29183111456332689</x:v>
      </x:c>
      <x:c r="K25" s="7">
        <x:v>6.7673138178478115E-2</x:v>
      </x:c>
      <x:c r="L25" s="7">
        <x:v>0.36962575918157409</x:v>
      </x:c>
      <x:c r="M25" s="7">
        <x:v>1.8904905353325761E-2</x:v>
      </x:c>
    </x:row>
    <x:row r="26">
      <x:c r="A26" s="2" t="s">
        <x:v>376</x:v>
      </x:c>
      <x:c r="B26" s="2" t="s">
        <x:v>218</x:v>
      </x:c>
      <x:c r="C26" s="6">
        <x:v>3000</x:v>
      </x:c>
      <x:c r="D26" s="6">
        <x:v>66</x:v>
      </x:c>
      <x:c r="E26" s="2" t="s">
        <x:v>401</x:v>
      </x:c>
      <x:c r="F26" s="7">
        <x:v>0.77115384615384608</x:v>
      </x:c>
      <x:c r="G26" s="7">
        <x:v>0.90596512943047014</x:v>
      </x:c>
      <x:c r="H26" s="7">
        <x:v>0.86021505376344087</x:v>
      </x:c>
      <x:c r="I26" s="7">
        <x:v>-1.045681186085248</x:v>
      </x:c>
      <x:c r="J26" s="7">
        <x:v>0.46790796452127331</x:v>
      </x:c>
      <x:c r="K26" s="7">
        <x:v>2.329840211625283E-3</x:v>
      </x:c>
      <x:c r="L26" s="7">
        <x:v>0.40860950110707528</x:v>
      </x:c>
      <x:c r="M26" s="7">
        <x:v>8.8525440114348378E-3</x:v>
      </x:c>
    </x:row>
    <x:row r="27">
      <x:c r="A27" s="2" t="s">
        <x:v>376</x:v>
      </x:c>
      <x:c r="B27" s="2" t="s">
        <x:v>218</x:v>
      </x:c>
      <x:c r="C27" s="6">
        <x:v>3000</x:v>
      </x:c>
      <x:c r="D27" s="6">
        <x:v>67</x:v>
      </x:c>
      <x:c r="E27" s="2" t="s">
        <x:v>402</x:v>
      </x:c>
      <x:c r="F27" s="7">
        <x:v>0.78076923076923077</x:v>
      </x:c>
      <x:c r="G27" s="7">
        <x:v>0.90737248601047782</x:v>
      </x:c>
      <x:c r="H27" s="7">
        <x:v>0.86021505376344087</x:v>
      </x:c>
      <x:c r="I27" s="7">
        <x:v>-1.130927607445497</x:v>
      </x:c>
      <x:c r="J27" s="7">
        <x:v>0.25193265466598391</x:v>
      </x:c>
      <x:c r="K27" s="7">
        <x:v>0.11682230557884959</x:v>
      </x:c>
      <x:c r="L27" s="7">
        <x:v>0.27557648150137082</x:v>
      </x:c>
      <x:c r="M27" s="7">
        <x:v>8.5226338066451982E-2</x:v>
      </x:c>
    </x:row>
    <x:row r="28">
      <x:c r="A28" s="2" t="s">
        <x:v>376</x:v>
      </x:c>
      <x:c r="B28" s="2" t="s">
        <x:v>218</x:v>
      </x:c>
      <x:c r="C28" s="6">
        <x:v>3000</x:v>
      </x:c>
      <x:c r="D28" s="6">
        <x:v>68</x:v>
      </x:c>
      <x:c r="E28" s="2" t="s">
        <x:v>403</x:v>
      </x:c>
      <x:c r="F28" s="7">
        <x:v>0.85096153846153844</x:v>
      </x:c>
      <x:c r="G28" s="7">
        <x:v>0.93885039104983981</x:v>
      </x:c>
      <x:c r="H28" s="7">
        <x:v>0.86842105263157898</x:v>
      </x:c>
      <x:c r="I28" s="7">
        <x:v>-1.2467152592568791</x:v>
      </x:c>
      <x:c r="J28" s="7">
        <x:v>0.45560729855073129</x:v>
      </x:c>
      <x:c r="K28" s="7">
        <x:v>3.1339034165942361E-3</x:v>
      </x:c>
      <x:c r="L28" s="7">
        <x:v>0.44938352313979879</x:v>
      </x:c>
      <x:c r="M28" s="7">
        <x:v>3.6263061672855922E-3</x:v>
      </x:c>
    </x:row>
    <x:row r="29">
      <x:c r="A29" s="2" t="s">
        <x:v>376</x:v>
      </x:c>
      <x:c r="B29" s="2" t="s">
        <x:v>218</x:v>
      </x:c>
      <x:c r="C29" s="6">
        <x:v>3000</x:v>
      </x:c>
      <x:c r="D29" s="6">
        <x:v>69</x:v>
      </x:c>
      <x:c r="E29" s="2" t="s">
        <x:v>404</x:v>
      </x:c>
      <x:c r="F29" s="7">
        <x:v>0.83942307692307694</x:v>
      </x:c>
      <x:c r="G29" s="7">
        <x:v>0.92926976170453235</x:v>
      </x:c>
      <x:c r="H29" s="7">
        <x:v>0.86021505376344087</x:v>
      </x:c>
      <x:c r="I29" s="7">
        <x:v>-1.3460561508004869</x:v>
      </x:c>
      <x:c r="J29" s="7">
        <x:v>0.63985192496425403</x:v>
      </x:c>
      <x:c r="K29" s="7">
        <x:v>8.7707027532243797E-6</x:v>
      </x:c>
      <x:c r="L29" s="7">
        <x:v>0.50700144745927067</x:v>
      </x:c>
      <x:c r="M29" s="7">
        <x:v>8.4170784751642891E-4</x:v>
      </x:c>
    </x:row>
    <x:row r="30">
      <x:c r="A30" s="2" t="s">
        <x:v>376</x:v>
      </x:c>
      <x:c r="B30" s="2" t="s">
        <x:v>218</x:v>
      </x:c>
      <x:c r="C30" s="6">
        <x:v>3000</x:v>
      </x:c>
      <x:c r="D30" s="6">
        <x:v>70</x:v>
      </x:c>
      <x:c r="E30" s="2" t="s">
        <x:v>405</x:v>
      </x:c>
      <x:c r="F30" s="7">
        <x:v>0.76538461538461533</x:v>
      </x:c>
      <x:c r="G30" s="7">
        <x:v>0.90163751092968869</x:v>
      </x:c>
      <x:c r="H30" s="7">
        <x:v>0.86021505376344087</x:v>
      </x:c>
      <x:c r="I30" s="7">
        <x:v>-1.219124330527797</x:v>
      </x:c>
      <x:c r="J30" s="7">
        <x:v>0.63838606012204735</x:v>
      </x:c>
      <x:c r="K30" s="7">
        <x:v>9.3339035626980107E-6</x:v>
      </x:c>
      <x:c r="L30" s="7">
        <x:v>0.37618561124393152</x:v>
      </x:c>
      <x:c r="M30" s="7">
        <x:v>1.6739498721444881E-2</x:v>
      </x:c>
    </x:row>
    <x:row r="31">
      <x:c r="A31" s="2" t="s">
        <x:v>376</x:v>
      </x:c>
      <x:c r="B31" s="2" t="s">
        <x:v>218</x:v>
      </x:c>
      <x:c r="C31" s="6">
        <x:v>3000</x:v>
      </x:c>
      <x:c r="D31" s="6">
        <x:v>71</x:v>
      </x:c>
      <x:c r="E31" s="2" t="s">
        <x:v>406</x:v>
      </x:c>
      <x:c r="F31" s="7">
        <x:v>0.79423076923076918</x:v>
      </x:c>
      <x:c r="G31" s="7">
        <x:v>0.9164646205281668</x:v>
      </x:c>
      <x:c r="H31" s="7">
        <x:v>0.86021505376344087</x:v>
      </x:c>
      <x:c r="I31" s="7">
        <x:v>-1.2665110925684779</x:v>
      </x:c>
      <x:c r="J31" s="7">
        <x:v>0.26186535015913942</x:v>
      </x:c>
      <x:c r="K31" s="7">
        <x:v>0.1026184367617861</x:v>
      </x:c>
      <x:c r="L31" s="7">
        <x:v>0.28884764900842808</x:v>
      </x:c>
      <x:c r="M31" s="7">
        <x:v>7.0660537930265097E-2</x:v>
      </x:c>
    </x:row>
    <x:row r="32">
      <x:c r="A32" s="2" t="s">
        <x:v>376</x:v>
      </x:c>
      <x:c r="B32" s="2" t="s">
        <x:v>218</x:v>
      </x:c>
      <x:c r="C32" s="6">
        <x:v>6000</x:v>
      </x:c>
      <x:c r="D32" s="6">
        <x:v>42</x:v>
      </x:c>
      <x:c r="E32" s="2" t="s">
        <x:v>407</x:v>
      </x:c>
      <x:c r="F32" s="7">
        <x:v>0.74615384615384628</x:v>
      </x:c>
      <x:c r="G32" s="7">
        <x:v>0.88247964084463715</x:v>
      </x:c>
      <x:c r="H32" s="7">
        <x:v>0.86021505376344087</x:v>
      </x:c>
      <x:c r="I32" s="7">
        <x:v>-1.18064344139494</x:v>
      </x:c>
      <x:c r="J32" s="7">
        <x:v>0.32836408589522648</x:v>
      </x:c>
      <x:c r="K32" s="7">
        <x:v>3.8578696914765037E-2</x:v>
      </x:c>
      <x:c r="L32" s="7">
        <x:v>0.35182314334496911</x:v>
      </x:c>
      <x:c r="M32" s="7">
        <x:v>2.5995398593686259E-2</x:v>
      </x:c>
    </x:row>
    <x:row r="33">
      <x:c r="A33" s="2" t="s">
        <x:v>376</x:v>
      </x:c>
      <x:c r="B33" s="2" t="s">
        <x:v>218</x:v>
      </x:c>
      <x:c r="C33" s="6">
        <x:v>6000</x:v>
      </x:c>
      <x:c r="D33" s="6">
        <x:v>43</x:v>
      </x:c>
      <x:c r="E33" s="2" t="s">
        <x:v>408</x:v>
      </x:c>
      <x:c r="F33" s="7">
        <x:v>0.84326923076923077</x:v>
      </x:c>
      <x:c r="G33" s="7">
        <x:v>0.93294431824768864</x:v>
      </x:c>
      <x:c r="H33" s="7">
        <x:v>0.86021505376344087</x:v>
      </x:c>
      <x:c r="I33" s="7">
        <x:v>-1.069450100191478</x:v>
      </x:c>
      <x:c r="J33" s="7">
        <x:v>0.2014907024514202</x:v>
      </x:c>
      <x:c r="K33" s="7">
        <x:v>0.21248400220082231</x:v>
      </x:c>
      <x:c r="L33" s="7">
        <x:v>0.2138292734994692</x:v>
      </x:c>
      <x:c r="M33" s="7">
        <x:v>0.1852125813677748</x:v>
      </x:c>
    </x:row>
    <x:row r="34">
      <x:c r="A34" s="2" t="s">
        <x:v>376</x:v>
      </x:c>
      <x:c r="B34" s="2" t="s">
        <x:v>218</x:v>
      </x:c>
      <x:c r="C34" s="6">
        <x:v>6000</x:v>
      </x:c>
      <x:c r="D34" s="6">
        <x:v>44</x:v>
      </x:c>
      <x:c r="E34" s="2" t="s">
        <x:v>409</x:v>
      </x:c>
      <x:c r="F34" s="7">
        <x:v>0.87788461538461537</x:v>
      </x:c>
      <x:c r="G34" s="7">
        <x:v>0.95011896653162498</x:v>
      </x:c>
      <x:c r="H34" s="7">
        <x:v>0.89473684210526316</x:v>
      </x:c>
      <x:c r="I34" s="7">
        <x:v>-1.2487650794623311</x:v>
      </x:c>
      <x:c r="J34" s="7">
        <x:v>0.29430600264385698</x:v>
      </x:c>
      <x:c r="K34" s="7">
        <x:v>6.5271434496364897E-2</x:v>
      </x:c>
      <x:c r="L34" s="7">
        <x:v>0.31382619148058999</x:v>
      </x:c>
      <x:c r="M34" s="7">
        <x:v>4.8608603258855403E-2</x:v>
      </x:c>
    </x:row>
    <x:row r="35">
      <x:c r="A35" s="2" t="s">
        <x:v>376</x:v>
      </x:c>
      <x:c r="B35" s="2" t="s">
        <x:v>218</x:v>
      </x:c>
      <x:c r="C35" s="6">
        <x:v>6000</x:v>
      </x:c>
      <x:c r="D35" s="6">
        <x:v>45</x:v>
      </x:c>
      <x:c r="E35" s="2" t="s">
        <x:v>410</x:v>
      </x:c>
      <x:c r="F35" s="7">
        <x:v>0.85192307692307689</x:v>
      </x:c>
      <x:c r="G35" s="7">
        <x:v>0.93637536107659169</x:v>
      </x:c>
      <x:c r="H35" s="7">
        <x:v>0.86486486486486491</x:v>
      </x:c>
      <x:c r="I35" s="7">
        <x:v>-1.301157997022399</x:v>
      </x:c>
      <x:c r="J35" s="7">
        <x:v>0.54370363192027094</x:v>
      </x:c>
      <x:c r="K35" s="7">
        <x:v>2.8792852566391069E-4</x:v>
      </x:c>
      <x:c r="L35" s="7">
        <x:v>0.43037819050563503</x:v>
      </x:c>
      <x:c r="M35" s="7">
        <x:v>5.5710384258544779E-3</x:v>
      </x:c>
    </x:row>
    <x:row r="36">
      <x:c r="A36" s="2" t="s">
        <x:v>376</x:v>
      </x:c>
      <x:c r="B36" s="2" t="s">
        <x:v>218</x:v>
      </x:c>
      <x:c r="C36" s="6">
        <x:v>6000</x:v>
      </x:c>
      <x:c r="D36" s="6">
        <x:v>46</x:v>
      </x:c>
      <x:c r="E36" s="2" t="s">
        <x:v>411</x:v>
      </x:c>
      <x:c r="F36" s="7">
        <x:v>0.85480769230769227</x:v>
      </x:c>
      <x:c r="G36" s="7">
        <x:v>0.93826683235678032</x:v>
      </x:c>
      <x:c r="H36" s="7">
        <x:v>0.86021505376344087</x:v>
      </x:c>
      <x:c r="I36" s="7">
        <x:v>-1.1581307814348241</x:v>
      </x:c>
      <x:c r="J36" s="7">
        <x:v>0.48552554275305643</x:v>
      </x:c>
      <x:c r="K36" s="7">
        <x:v>1.494461411604714E-3</x:v>
      </x:c>
      <x:c r="L36" s="7">
        <x:v>0.39508725512242082</x:v>
      </x:c>
      <x:c r="M36" s="7">
        <x:v>1.1632469312839641E-2</x:v>
      </x:c>
    </x:row>
    <x:row r="37">
      <x:c r="A37" s="2" t="s">
        <x:v>376</x:v>
      </x:c>
      <x:c r="B37" s="2" t="s">
        <x:v>218</x:v>
      </x:c>
      <x:c r="C37" s="6">
        <x:v>6000</x:v>
      </x:c>
      <x:c r="D37" s="6">
        <x:v>47</x:v>
      </x:c>
      <x:c r="E37" s="2" t="s">
        <x:v>412</x:v>
      </x:c>
      <x:c r="F37" s="7">
        <x:v>0.87115384615384617</x:v>
      </x:c>
      <x:c r="G37" s="7">
        <x:v>0.94152821684296317</x:v>
      </x:c>
      <x:c r="H37" s="7">
        <x:v>0.86111111111111116</x:v>
      </x:c>
      <x:c r="I37" s="7">
        <x:v>-1.3310350172899641</x:v>
      </x:c>
      <x:c r="J37" s="7">
        <x:v>0.32830714629402752</x:v>
      </x:c>
      <x:c r="K37" s="7">
        <x:v>3.8614397216344139E-2</x:v>
      </x:c>
      <x:c r="L37" s="7">
        <x:v>0.40890960447812119</x:v>
      </x:c>
      <x:c r="M37" s="7">
        <x:v>8.7979601233818434E-3</x:v>
      </x:c>
    </x:row>
    <x:row r="38">
      <x:c r="A38" s="2" t="s">
        <x:v>376</x:v>
      </x:c>
      <x:c r="B38" s="2" t="s">
        <x:v>218</x:v>
      </x:c>
      <x:c r="C38" s="6">
        <x:v>6000</x:v>
      </x:c>
      <x:c r="D38" s="6">
        <x:v>48</x:v>
      </x:c>
      <x:c r="E38" s="2" t="s">
        <x:v>413</x:v>
      </x:c>
      <x:c r="F38" s="7">
        <x:v>0.83653846153846156</x:v>
      </x:c>
      <x:c r="G38" s="7">
        <x:v>0.93178641794955686</x:v>
      </x:c>
      <x:c r="H38" s="7">
        <x:v>0.88311688311688308</x:v>
      </x:c>
      <x:c r="I38" s="7">
        <x:v>-1.2060892595396731</x:v>
      </x:c>
      <x:c r="J38" s="7">
        <x:v>0.59631733485884941</x:v>
      </x:c>
      <x:c r="K38" s="7">
        <x:v>4.8959039614021559E-5</x:v>
      </x:c>
      <x:c r="L38" s="7">
        <x:v>0.48378147523354242</x:v>
      </x:c>
      <x:c r="M38" s="7">
        <x:v>1.5632636405488989E-3</x:v>
      </x:c>
    </x:row>
    <x:row r="39">
      <x:c r="A39" s="2" t="s">
        <x:v>376</x:v>
      </x:c>
      <x:c r="B39" s="2" t="s">
        <x:v>218</x:v>
      </x:c>
      <x:c r="C39" s="6">
        <x:v>6000</x:v>
      </x:c>
      <x:c r="D39" s="6">
        <x:v>49</x:v>
      </x:c>
      <x:c r="E39" s="2" t="s">
        <x:v>414</x:v>
      </x:c>
      <x:c r="F39" s="7">
        <x:v>0.79807692307692313</x:v>
      </x:c>
      <x:c r="G39" s="7">
        <x:v>0.91902692593785584</x:v>
      </x:c>
      <x:c r="H39" s="7">
        <x:v>0.86021505376344087</x:v>
      </x:c>
      <x:c r="I39" s="7">
        <x:v>-1.153816269861883</x:v>
      </x:c>
      <x:c r="J39" s="7">
        <x:v>0.48467541574537759</x:v>
      </x:c>
      <x:c r="K39" s="7">
        <x:v>1.5276565507751109E-3</x:v>
      </x:c>
      <x:c r="L39" s="7">
        <x:v>0.32994035859631449</x:v>
      </x:c>
      <x:c r="M39" s="7">
        <x:v>3.7601034867268977E-2</x:v>
      </x:c>
    </x:row>
    <x:row r="40">
      <x:c r="A40" s="2" t="s">
        <x:v>376</x:v>
      </x:c>
      <x:c r="B40" s="2" t="s">
        <x:v>218</x:v>
      </x:c>
      <x:c r="C40" s="6">
        <x:v>6000</x:v>
      </x:c>
      <x:c r="D40" s="6">
        <x:v>50</x:v>
      </x:c>
      <x:c r="E40" s="2" t="s">
        <x:v>415</x:v>
      </x:c>
      <x:c r="F40" s="7">
        <x:v>0.8471153846153846</x:v>
      </x:c>
      <x:c r="G40" s="7">
        <x:v>0.93783171535743459</x:v>
      </x:c>
      <x:c r="H40" s="7">
        <x:v>0.86021505376344087</x:v>
      </x:c>
      <x:c r="I40" s="7">
        <x:v>-1.5850089022004339</x:v>
      </x:c>
      <x:c r="J40" s="7">
        <x:v>0.18186241351776261</x:v>
      </x:c>
      <x:c r="K40" s="7">
        <x:v>0.26138513151102571</x:v>
      </x:c>
      <x:c r="L40" s="7">
        <x:v>0.28683062705289242</x:v>
      </x:c>
      <x:c r="M40" s="7">
        <x:v>7.2738351581986757E-2</x:v>
      </x:c>
    </x:row>
    <x:row r="41">
      <x:c r="A41" s="2" t="s">
        <x:v>376</x:v>
      </x:c>
      <x:c r="B41" s="2" t="s">
        <x:v>218</x:v>
      </x:c>
      <x:c r="C41" s="6">
        <x:v>6000</x:v>
      </x:c>
      <x:c r="D41" s="6">
        <x:v>51</x:v>
      </x:c>
      <x:c r="E41" s="2" t="s">
        <x:v>416</x:v>
      </x:c>
      <x:c r="F41" s="7">
        <x:v>0.75769230769230766</x:v>
      </x:c>
      <x:c r="G41" s="7">
        <x:v>0.87452898851174576</x:v>
      </x:c>
      <x:c r="H41" s="7">
        <x:v>0.86021505376344087</x:v>
      </x:c>
      <x:c r="I41" s="7">
        <x:v>-1.047624573626049</x:v>
      </x:c>
      <x:c r="J41" s="7">
        <x:v>6.6656113030847883E-2</x:v>
      </x:c>
      <x:c r="K41" s="7">
        <x:v>0.6827911623328371</x:v>
      </x:c>
      <x:c r="L41" s="7">
        <x:v>-9.3206781602125754E-2</x:v>
      </x:c>
      <x:c r="M41" s="7">
        <x:v>0.5672905822200045</x:v>
      </x:c>
    </x:row>
    <x:row r="42">
      <x:c r="A42" s="2" t="s">
        <x:v>376</x:v>
      </x:c>
      <x:c r="B42" s="2" t="s">
        <x:v>218</x:v>
      </x:c>
      <x:c r="C42" s="6">
        <x:v>6000</x:v>
      </x:c>
      <x:c r="D42" s="6">
        <x:v>52</x:v>
      </x:c>
      <x:c r="E42" s="2" t="s">
        <x:v>417</x:v>
      </x:c>
      <x:c r="F42" s="7">
        <x:v>0.88461538461538458</x:v>
      </x:c>
      <x:c r="G42" s="7">
        <x:v>0.95403837167947858</x:v>
      </x:c>
      <x:c r="H42" s="7">
        <x:v>0.89473684210526316</x:v>
      </x:c>
      <x:c r="I42" s="7">
        <x:v>-1.24519998625029</x:v>
      </x:c>
      <x:c r="J42" s="7">
        <x:v>0.47472347552898009</x:v>
      </x:c>
      <x:c r="K42" s="7">
        <x:v>1.9675529810363719E-3</x:v>
      </x:c>
      <x:c r="L42" s="7">
        <x:v>0.36816675049738762</x:v>
      </x:c>
      <x:c r="M42" s="7">
        <x:v>1.9417203902847131E-2</x:v>
      </x:c>
    </x:row>
    <x:row r="43">
      <x:c r="A43" s="2" t="s">
        <x:v>376</x:v>
      </x:c>
      <x:c r="B43" s="2" t="s">
        <x:v>218</x:v>
      </x:c>
      <x:c r="C43" s="6">
        <x:v>6000</x:v>
      </x:c>
      <x:c r="D43" s="6">
        <x:v>53</x:v>
      </x:c>
      <x:c r="E43" s="2" t="s">
        <x:v>418</x:v>
      </x:c>
      <x:c r="F43" s="7">
        <x:v>0.82019230769230778</x:v>
      </x:c>
      <x:c r="G43" s="7">
        <x:v>0.92901006665585573</x:v>
      </x:c>
      <x:c r="H43" s="7">
        <x:v>0.87179487179487181</x:v>
      </x:c>
      <x:c r="I43" s="7">
        <x:v>-1.253708999953411</x:v>
      </x:c>
      <x:c r="J43" s="7">
        <x:v>0.33732721197930099</x:v>
      </x:c>
      <x:c r="K43" s="7">
        <x:v>3.3285279260205629E-2</x:v>
      </x:c>
      <x:c r="L43" s="7">
        <x:v>0.341722117004024</x:v>
      </x:c>
      <x:c r="M43" s="7">
        <x:v>3.091660685092602E-2</x:v>
      </x:c>
    </x:row>
    <x:row r="44">
      <x:c r="A44" s="2" t="s">
        <x:v>376</x:v>
      </x:c>
      <x:c r="B44" s="2" t="s">
        <x:v>218</x:v>
      </x:c>
      <x:c r="C44" s="6">
        <x:v>6000</x:v>
      </x:c>
      <x:c r="D44" s="6">
        <x:v>54</x:v>
      </x:c>
      <x:c r="E44" s="2" t="s">
        <x:v>419</x:v>
      </x:c>
      <x:c r="F44" s="7">
        <x:v>0.78076923076923066</x:v>
      </x:c>
      <x:c r="G44" s="7">
        <x:v>0.91077077929590244</x:v>
      </x:c>
      <x:c r="H44" s="7">
        <x:v>0.86021505376344087</x:v>
      </x:c>
      <x:c r="I44" s="7">
        <x:v>-1.11134401157768</x:v>
      </x:c>
      <x:c r="J44" s="7">
        <x:v>0.37360093291233448</x:v>
      </x:c>
      <x:c r="K44" s="7">
        <x:v>1.7566338685390419E-2</x:v>
      </x:c>
      <x:c r="L44" s="7">
        <x:v>0.28974994369136142</x:v>
      </x:c>
      <x:c r="M44" s="7">
        <x:v>6.9746306994282942E-2</x:v>
      </x:c>
    </x:row>
    <x:row r="45">
      <x:c r="A45" s="2" t="s">
        <x:v>376</x:v>
      </x:c>
      <x:c r="B45" s="2" t="s">
        <x:v>218</x:v>
      </x:c>
      <x:c r="C45" s="6">
        <x:v>6000</x:v>
      </x:c>
      <x:c r="D45" s="6">
        <x:v>55</x:v>
      </x:c>
      <x:c r="E45" s="2" t="s">
        <x:v>420</x:v>
      </x:c>
      <x:c r="F45" s="7">
        <x:v>0.82403846153846161</x:v>
      </x:c>
      <x:c r="G45" s="7">
        <x:v>0.92444561172185946</x:v>
      </x:c>
      <x:c r="H45" s="7">
        <x:v>0.86021505376344087</x:v>
      </x:c>
      <x:c r="I45" s="7">
        <x:v>-1.099806326124851</x:v>
      </x:c>
      <x:c r="J45" s="7">
        <x:v>0.49064278403021672</x:v>
      </x:c>
      <x:c r="K45" s="7">
        <x:v>1.3077823415766909E-3</x:v>
      </x:c>
      <x:c r="L45" s="7">
        <x:v>0.39968951172646661</x:v>
      </x:c>
      <x:c r="M45" s="7">
        <x:v>1.061289894893035E-2</x:v>
      </x:c>
    </x:row>
    <x:row r="46">
      <x:c r="A46" s="2" t="s">
        <x:v>376</x:v>
      </x:c>
      <x:c r="B46" s="2" t="s">
        <x:v>218</x:v>
      </x:c>
      <x:c r="C46" s="6">
        <x:v>6000</x:v>
      </x:c>
      <x:c r="D46" s="6">
        <x:v>56</x:v>
      </x:c>
      <x:c r="E46" s="2" t="s">
        <x:v>421</x:v>
      </x:c>
      <x:c r="F46" s="7">
        <x:v>0.95288461538461533</x:v>
      </x:c>
      <x:c r="G46" s="7">
        <x:v>0.981947174929515</x:v>
      </x:c>
      <x:c r="H46" s="7">
        <x:v>0.93827160493827155</x:v>
      </x:c>
      <x:c r="I46" s="7">
        <x:v>-0.92079810026730446</x:v>
      </x:c>
      <x:c r="J46" s="7">
        <x:v>0.43397908017159459</x:v>
      </x:c>
      <x:c r="K46" s="7">
        <x:v>5.1452282052021486E-3</x:v>
      </x:c>
      <x:c r="L46" s="7">
        <x:v>0.3637397444735182</x:v>
      </x:c>
      <x:c r="M46" s="7">
        <x:v>2.1043411448746888E-2</x:v>
      </x:c>
    </x:row>
    <x:row r="47">
      <x:c r="A47" s="2" t="s">
        <x:v>376</x:v>
      </x:c>
      <x:c r="B47" s="2" t="s">
        <x:v>218</x:v>
      </x:c>
      <x:c r="C47" s="6">
        <x:v>6000</x:v>
      </x:c>
      <x:c r="D47" s="6">
        <x:v>57</x:v>
      </x:c>
      <x:c r="E47" s="2" t="s">
        <x:v>422</x:v>
      </x:c>
      <x:c r="F47" s="7">
        <x:v>0.77499999999999991</x:v>
      </x:c>
      <x:c r="G47" s="7">
        <x:v>0.91028439962906182</x:v>
      </x:c>
      <x:c r="H47" s="7">
        <x:v>0.86021505376344087</x:v>
      </x:c>
      <x:c r="I47" s="7">
        <x:v>-1.209841888988934</x:v>
      </x:c>
      <x:c r="J47" s="7">
        <x:v>0.46345063667000469</x:v>
      </x:c>
      <x:c r="K47" s="7">
        <x:v>2.5973414391584379E-3</x:v>
      </x:c>
      <x:c r="L47" s="7">
        <x:v>0.41092730973050279</x:v>
      </x:c>
      <x:c r="M47" s="7">
        <x:v>8.4384096274895473E-3</x:v>
      </x:c>
    </x:row>
    <x:row r="48">
      <x:c r="A48" s="2" t="s">
        <x:v>376</x:v>
      </x:c>
      <x:c r="B48" s="2" t="s">
        <x:v>218</x:v>
      </x:c>
      <x:c r="C48" s="6">
        <x:v>6000</x:v>
      </x:c>
      <x:c r="D48" s="6">
        <x:v>58</x:v>
      </x:c>
      <x:c r="E48" s="2" t="s">
        <x:v>423</x:v>
      </x:c>
      <x:c r="F48" s="7">
        <x:v>0.74807692307692297</x:v>
      </x:c>
      <x:c r="G48" s="7">
        <x:v>0.89167144046633562</x:v>
      </x:c>
      <x:c r="H48" s="7">
        <x:v>0.86021505376344087</x:v>
      </x:c>
      <x:c r="I48" s="7">
        <x:v>-1.1967622540758269</x:v>
      </x:c>
      <x:c r="J48" s="7">
        <x:v>0.49310741426293309</x:v>
      </x:c>
      <x:c r="K48" s="7">
        <x:v>1.2254764044179851E-3</x:v>
      </x:c>
      <x:c r="L48" s="7">
        <x:v>0.42628061669931222</x:v>
      </x:c>
      <x:c r="M48" s="7">
        <x:v>6.0923854205031519E-3</x:v>
      </x:c>
    </x:row>
    <x:row r="49">
      <x:c r="A49" s="2" t="s">
        <x:v>376</x:v>
      </x:c>
      <x:c r="B49" s="2" t="s">
        <x:v>218</x:v>
      </x:c>
      <x:c r="C49" s="6">
        <x:v>6000</x:v>
      </x:c>
      <x:c r="D49" s="6">
        <x:v>59</x:v>
      </x:c>
      <x:c r="E49" s="2" t="s">
        <x:v>424</x:v>
      </x:c>
      <x:c r="F49" s="7">
        <x:v>0.87115384615384617</x:v>
      </x:c>
      <x:c r="G49" s="7">
        <x:v>0.94840036286947305</x:v>
      </x:c>
      <x:c r="H49" s="7">
        <x:v>0.88311688311688308</x:v>
      </x:c>
      <x:c r="I49" s="7">
        <x:v>-1.388999874057917</x:v>
      </x:c>
      <x:c r="J49" s="7">
        <x:v>0.49598345871082211</x:v>
      </x:c>
      <x:c r="K49" s="7">
        <x:v>1.1352602378591941E-3</x:v>
      </x:c>
      <x:c r="L49" s="7">
        <x:v>0.43754270661112538</x:v>
      </x:c>
      <x:c r="M49" s="7">
        <x:v>4.7519011801692244E-3</x:v>
      </x:c>
    </x:row>
    <x:row r="50">
      <x:c r="A50" s="2" t="s">
        <x:v>376</x:v>
      </x:c>
      <x:c r="B50" s="2" t="s">
        <x:v>218</x:v>
      </x:c>
      <x:c r="C50" s="6">
        <x:v>6000</x:v>
      </x:c>
      <x:c r="D50" s="6">
        <x:v>60</x:v>
      </x:c>
      <x:c r="E50" s="2" t="s">
        <x:v>425</x:v>
      </x:c>
      <x:c r="F50" s="7">
        <x:v>0.89230769230769225</x:v>
      </x:c>
      <x:c r="G50" s="7">
        <x:v>0.9550085137685721</x:v>
      </x:c>
      <x:c r="H50" s="7">
        <x:v>0.89473684210526316</x:v>
      </x:c>
      <x:c r="I50" s="7">
        <x:v>-1.269996519105929</x:v>
      </x:c>
      <x:c r="J50" s="7">
        <x:v>0.3439046227978389</x:v>
      </x:c>
      <x:c r="K50" s="7">
        <x:v>2.9792981393038528E-2</x:v>
      </x:c>
      <x:c r="L50" s="7">
        <x:v>0.36644904025396091</x:v>
      </x:c>
      <x:c r="M50" s="7">
        <x:v>2.0035208507683401E-2</x:v>
      </x:c>
    </x:row>
    <x:row r="51">
      <x:c r="A51" s="2" t="s">
        <x:v>376</x:v>
      </x:c>
      <x:c r="B51" s="2" t="s">
        <x:v>218</x:v>
      </x:c>
      <x:c r="C51" s="6">
        <x:v>6000</x:v>
      </x:c>
      <x:c r="D51" s="6">
        <x:v>61</x:v>
      </x:c>
      <x:c r="E51" s="2" t="s">
        <x:v>426</x:v>
      </x:c>
      <x:c r="F51" s="7">
        <x:v>0.81634615384615383</x:v>
      </x:c>
      <x:c r="G51" s="7">
        <x:v>0.92084502798754864</x:v>
      </x:c>
      <x:c r="H51" s="7">
        <x:v>0.9</x:v>
      </x:c>
      <x:c r="I51" s="7">
        <x:v>-1.4360892418917039</x:v>
      </x:c>
      <x:c r="J51" s="7">
        <x:v>0.21897882203549149</x:v>
      </x:c>
      <x:c r="K51" s="7">
        <x:v>0.17460009793310971</x:v>
      </x:c>
      <x:c r="L51" s="7">
        <x:v>0.2937285199336867</x:v>
      </x:c>
      <x:c r="M51" s="7">
        <x:v>6.5825714539638813E-2</x:v>
      </x:c>
    </x:row>
    <x:row r="52">
      <x:c r="A52" s="2" t="s">
        <x:v>376</x:v>
      </x:c>
      <x:c r="B52" s="2" t="s">
        <x:v>218</x:v>
      </x:c>
      <x:c r="C52" s="6">
        <x:v>6000</x:v>
      </x:c>
      <x:c r="D52" s="6">
        <x:v>62</x:v>
      </x:c>
      <x:c r="E52" s="2" t="s">
        <x:v>427</x:v>
      </x:c>
      <x:c r="F52" s="7">
        <x:v>0.85480769230769238</x:v>
      </x:c>
      <x:c r="G52" s="7">
        <x:v>0.94653042577418656</x:v>
      </x:c>
      <x:c r="H52" s="7">
        <x:v>0.86486486486486491</x:v>
      </x:c>
      <x:c r="I52" s="7">
        <x:v>-1.0769465502680191</x:v>
      </x:c>
      <x:c r="J52" s="7">
        <x:v>0.3880645953433951</x:v>
      </x:c>
      <x:c r="K52" s="7">
        <x:v>1.334844694550817E-2</x:v>
      </x:c>
      <x:c r="L52" s="7">
        <x:v>0.37967001145831691</x:v>
      </x:c>
      <x:c r="M52" s="7">
        <x:v>1.5676931071301869E-2</x:v>
      </x:c>
    </x:row>
    <x:row r="53">
      <x:c r="A53" s="2" t="s">
        <x:v>376</x:v>
      </x:c>
      <x:c r="B53" s="2" t="s">
        <x:v>218</x:v>
      </x:c>
      <x:c r="C53" s="6">
        <x:v>6000</x:v>
      </x:c>
      <x:c r="D53" s="6">
        <x:v>63</x:v>
      </x:c>
      <x:c r="E53" s="2" t="s">
        <x:v>428</x:v>
      </x:c>
      <x:c r="F53" s="7">
        <x:v>0.9</x:v>
      </x:c>
      <x:c r="G53" s="7">
        <x:v>0.95094339622641511</x:v>
      </x:c>
      <x:c r="H53" s="7">
        <x:v>0.88888888888888884</x:v>
      </x:c>
      <x:c r="I53" s="7">
        <x:v>-0.89834853630603462</x:v>
      </x:c>
      <x:c r="J53" s="7">
        <x:v>0.37860533523635709</x:v>
      </x:c>
      <x:c r="K53" s="7">
        <x:v>1.5995387005522929E-2</x:v>
      </x:c>
      <x:c r="L53" s="7">
        <x:v>0.32785851934926907</x:v>
      </x:c>
      <x:c r="M53" s="7">
        <x:v>3.8896623204033837E-2</x:v>
      </x:c>
    </x:row>
    <x:row r="54">
      <x:c r="A54" s="2" t="s">
        <x:v>376</x:v>
      </x:c>
      <x:c r="B54" s="2" t="s">
        <x:v>218</x:v>
      </x:c>
      <x:c r="C54" s="6">
        <x:v>6000</x:v>
      </x:c>
      <x:c r="D54" s="6">
        <x:v>64</x:v>
      </x:c>
      <x:c r="E54" s="2" t="s">
        <x:v>429</x:v>
      </x:c>
      <x:c r="F54" s="7">
        <x:v>0.89903846153846145</x:v>
      </x:c>
      <x:c r="G54" s="7">
        <x:v>0.95707547169811324</x:v>
      </x:c>
      <x:c r="H54" s="7">
        <x:v>0.90410958904109584</x:v>
      </x:c>
      <x:c r="I54" s="7">
        <x:v>-0.98226068826268453</x:v>
      </x:c>
      <x:c r="J54" s="7">
        <x:v>0.15021452647596681</x:v>
      </x:c>
      <x:c r="K54" s="7">
        <x:v>0.35487297417771718</x:v>
      </x:c>
      <x:c r="L54" s="7">
        <x:v>0.1269735113635112</x:v>
      </x:c>
      <x:c r="M54" s="7">
        <x:v>0.43494710219525001</x:v>
      </x:c>
    </x:row>
    <x:row r="55">
      <x:c r="A55" s="2" t="s">
        <x:v>376</x:v>
      </x:c>
      <x:c r="B55" s="2" t="s">
        <x:v>218</x:v>
      </x:c>
      <x:c r="C55" s="6">
        <x:v>6000</x:v>
      </x:c>
      <x:c r="D55" s="6">
        <x:v>65</x:v>
      </x:c>
      <x:c r="E55" s="2" t="s">
        <x:v>430</x:v>
      </x:c>
      <x:c r="F55" s="7">
        <x:v>0.9211538461538461</x:v>
      </x:c>
      <x:c r="G55" s="7">
        <x:v>0.96773525873541777</x:v>
      </x:c>
      <x:c r="H55" s="7">
        <x:v>0.92307692307692313</x:v>
      </x:c>
      <x:c r="I55" s="7">
        <x:v>-1.315525354747263</x:v>
      </x:c>
      <x:c r="J55" s="7">
        <x:v>0.42430788341438541</x:v>
      </x:c>
      <x:c r="K55" s="7">
        <x:v>6.3580690888452931E-3</x:v>
      </x:c>
      <x:c r="L55" s="7">
        <x:v>0.4463674697217358</x:v>
      </x:c>
      <x:c r="M55" s="7">
        <x:v>3.8883042815244782E-3</x:v>
      </x:c>
    </x:row>
    <x:row r="56">
      <x:c r="A56" s="2" t="s">
        <x:v>376</x:v>
      </x:c>
      <x:c r="B56" s="2" t="s">
        <x:v>218</x:v>
      </x:c>
      <x:c r="C56" s="6">
        <x:v>6000</x:v>
      </x:c>
      <x:c r="D56" s="6">
        <x:v>66</x:v>
      </x:c>
      <x:c r="E56" s="2" t="s">
        <x:v>431</x:v>
      </x:c>
      <x:c r="F56" s="7">
        <x:v>0.76538461538461533</x:v>
      </x:c>
      <x:c r="G56" s="7">
        <x:v>0.90244240215774274</x:v>
      </x:c>
      <x:c r="H56" s="7">
        <x:v>0.86021505376344087</x:v>
      </x:c>
      <x:c r="I56" s="7">
        <x:v>-1.0582195212505741</x:v>
      </x:c>
      <x:c r="J56" s="7">
        <x:v>0.45607185933958461</x:v>
      </x:c>
      <x:c r="K56" s="7">
        <x:v>3.099614998186161E-3</x:v>
      </x:c>
      <x:c r="L56" s="7">
        <x:v>0.40613160948296578</x:v>
      </x:c>
      <x:c r="M56" s="7">
        <x:v>9.3144305364253905E-3</x:v>
      </x:c>
    </x:row>
    <x:row r="57">
      <x:c r="A57" s="2" t="s">
        <x:v>376</x:v>
      </x:c>
      <x:c r="B57" s="2" t="s">
        <x:v>218</x:v>
      </x:c>
      <x:c r="C57" s="6">
        <x:v>6000</x:v>
      </x:c>
      <x:c r="D57" s="6">
        <x:v>67</x:v>
      </x:c>
      <x:c r="E57" s="2" t="s">
        <x:v>432</x:v>
      </x:c>
      <x:c r="F57" s="7">
        <x:v>0.76923076923076916</x:v>
      </x:c>
      <x:c r="G57" s="7">
        <x:v>0.90361972581891015</x:v>
      </x:c>
      <x:c r="H57" s="7">
        <x:v>0.86021505376344087</x:v>
      </x:c>
      <x:c r="I57" s="7">
        <x:v>-1.100006222112675</x:v>
      </x:c>
      <x:c r="J57" s="7">
        <x:v>0.31075969537141562</x:v>
      </x:c>
      <x:c r="K57" s="7">
        <x:v>5.0971542167441833E-2</x:v>
      </x:c>
      <x:c r="L57" s="7">
        <x:v>0.30706729205260258</x:v>
      </x:c>
      <x:c r="M57" s="7">
        <x:v>5.3938353757764901E-2</x:v>
      </x:c>
    </x:row>
    <x:row r="58">
      <x:c r="A58" s="2" t="s">
        <x:v>376</x:v>
      </x:c>
      <x:c r="B58" s="2" t="s">
        <x:v>218</x:v>
      </x:c>
      <x:c r="C58" s="6">
        <x:v>6000</x:v>
      </x:c>
      <x:c r="D58" s="6">
        <x:v>68</x:v>
      </x:c>
      <x:c r="E58" s="2" t="s">
        <x:v>433</x:v>
      </x:c>
      <x:c r="F58" s="7">
        <x:v>0.83365384615384619</x:v>
      </x:c>
      <x:c r="G58" s="7">
        <x:v>0.92790433153064544</x:v>
      </x:c>
      <x:c r="H58" s="7">
        <x:v>0.86021505376344087</x:v>
      </x:c>
      <x:c r="I58" s="7">
        <x:v>-1.2317575731329</x:v>
      </x:c>
      <x:c r="J58" s="7">
        <x:v>0.41408288095961537</x:v>
      </x:c>
      <x:c r="K58" s="7">
        <x:v>7.9013853130478137E-3</x:v>
      </x:c>
      <x:c r="L58" s="7">
        <x:v>0.34697770842538123</x:v>
      </x:c>
      <x:c r="M58" s="7">
        <x:v>2.826817027660751E-2</x:v>
      </x:c>
    </x:row>
    <x:row r="59">
      <x:c r="A59" s="2" t="s">
        <x:v>376</x:v>
      </x:c>
      <x:c r="B59" s="2" t="s">
        <x:v>218</x:v>
      </x:c>
      <x:c r="C59" s="6">
        <x:v>6000</x:v>
      </x:c>
      <x:c r="D59" s="6">
        <x:v>69</x:v>
      </x:c>
      <x:c r="E59" s="2" t="s">
        <x:v>434</x:v>
      </x:c>
      <x:c r="F59" s="7">
        <x:v>0.83173076923076927</x:v>
      </x:c>
      <x:c r="G59" s="7">
        <x:v>0.92643222211831866</x:v>
      </x:c>
      <x:c r="H59" s="7">
        <x:v>0.86021505376344087</x:v>
      </x:c>
      <x:c r="I59" s="7">
        <x:v>-1.3688498855488569</x:v>
      </x:c>
      <x:c r="J59" s="7">
        <x:v>0.57135701232431779</x:v>
      </x:c>
      <x:c r="K59" s="7">
        <x:v>1.17806083402103E-4</x:v>
      </x:c>
      <x:c r="L59" s="7">
        <x:v>0.4679022981662167</x:v>
      </x:c>
      <x:c r="M59" s="7">
        <x:v>2.3301642868585339E-3</x:v>
      </x:c>
    </x:row>
    <x:row r="60">
      <x:c r="A60" s="2" t="s">
        <x:v>376</x:v>
      </x:c>
      <x:c r="B60" s="2" t="s">
        <x:v>218</x:v>
      </x:c>
      <x:c r="C60" s="6">
        <x:v>6000</x:v>
      </x:c>
      <x:c r="D60" s="6">
        <x:v>70</x:v>
      </x:c>
      <x:c r="E60" s="2" t="s">
        <x:v>435</x:v>
      </x:c>
      <x:c r="F60" s="7">
        <x:v>0.75576923076923064</x:v>
      </x:c>
      <x:c r="G60" s="7">
        <x:v>0.89800543545799061</x:v>
      </x:c>
      <x:c r="H60" s="7">
        <x:v>0.86021505376344087</x:v>
      </x:c>
      <x:c r="I60" s="7">
        <x:v>-1.214759268984015</x:v>
      </x:c>
      <x:c r="J60" s="7">
        <x:v>0.61553098724102073</x:v>
      </x:c>
      <x:c r="K60" s="7">
        <x:v>2.3657333550695741E-5</x:v>
      </x:c>
      <x:c r="L60" s="7">
        <x:v>0.37429481570763601</x:v>
      </x:c>
      <x:c r="M60" s="7">
        <x:v>1.7341061984839871E-2</x:v>
      </x:c>
    </x:row>
    <x:row r="61">
      <x:c r="A61" s="2" t="s">
        <x:v>376</x:v>
      </x:c>
      <x:c r="B61" s="2" t="s">
        <x:v>218</x:v>
      </x:c>
      <x:c r="C61" s="6">
        <x:v>6000</x:v>
      </x:c>
      <x:c r="D61" s="6">
        <x:v>71</x:v>
      </x:c>
      <x:c r="E61" s="2" t="s">
        <x:v>436</x:v>
      </x:c>
      <x:c r="F61" s="7">
        <x:v>0.80865384615384617</x:v>
      </x:c>
      <x:c r="G61" s="7">
        <x:v>0.92242236090401053</x:v>
      </x:c>
      <x:c r="H61" s="7">
        <x:v>0.86021505376344087</x:v>
      </x:c>
      <x:c r="I61" s="7">
        <x:v>-1.289518707950561</x:v>
      </x:c>
      <x:c r="J61" s="7">
        <x:v>0.27394854054237372</x:v>
      </x:c>
      <x:c r="K61" s="7">
        <x:v>8.7162708622116489E-2</x:v>
      </x:c>
      <x:c r="L61" s="7">
        <x:v>0.3063606686908924</x:v>
      </x:c>
      <x:c r="M61" s="7">
        <x:v>5.4521580638048878E-2</x:v>
      </x:c>
    </x:row>
    <x:row r="62" ht="28.799999237060547">
      <x:c r="A62" s="2" t="s">
        <x:v>376</x:v>
      </x:c>
      <x:c r="B62" s="2" t="s">
        <x:v>218</x:v>
      </x:c>
      <x:c r="C62" s="6">
        <x:v>12000</x:v>
      </x:c>
      <x:c r="D62" s="6">
        <x:v>42</x:v>
      </x:c>
      <x:c r="E62" s="2" t="s">
        <x:v>437</x:v>
      </x:c>
      <x:c r="F62" s="7">
        <x:v>0.74615384615384617</x:v>
      </x:c>
      <x:c r="G62" s="7">
        <x:v>0.8741558333991607</x:v>
      </x:c>
      <x:c r="H62" s="7">
        <x:v>0.86021505376344087</x:v>
      </x:c>
      <x:c r="I62" s="7">
        <x:v>-1.136751279822608</x:v>
      </x:c>
      <x:c r="J62" s="7">
        <x:v>0.35434781441027702</x:v>
      </x:c>
      <x:c r="K62" s="7">
        <x:v>2.487261408272411E-2</x:v>
      </x:c>
      <x:c r="L62" s="7">
        <x:v>0.3638650806682896</x:v>
      </x:c>
      <x:c r="M62" s="7">
        <x:v>2.0995852303178179E-2</x:v>
      </x:c>
    </x:row>
    <x:row r="63" ht="28.799999237060547">
      <x:c r="A63" s="2" t="s">
        <x:v>376</x:v>
      </x:c>
      <x:c r="B63" s="2" t="s">
        <x:v>218</x:v>
      </x:c>
      <x:c r="C63" s="6">
        <x:v>12000</x:v>
      </x:c>
      <x:c r="D63" s="6">
        <x:v>43</x:v>
      </x:c>
      <x:c r="E63" s="2" t="s">
        <x:v>438</x:v>
      </x:c>
      <x:c r="F63" s="7">
        <x:v>0.83365384615384619</x:v>
      </x:c>
      <x:c r="G63" s="7">
        <x:v>0.92917934047714013</x:v>
      </x:c>
      <x:c r="H63" s="7">
        <x:v>0.86021505376344087</x:v>
      </x:c>
      <x:c r="I63" s="7">
        <x:v>-1.0678351864539961</x:v>
      </x:c>
      <x:c r="J63" s="7">
        <x:v>0.2020111767905256</x:v>
      </x:c>
      <x:c r="K63" s="7">
        <x:v>0.2112802797873867</x:v>
      </x:c>
      <x:c r="L63" s="7">
        <x:v>0.21224722424701309</x:v>
      </x:c>
      <x:c r="M63" s="7">
        <x:v>0.1885630240889633</x:v>
      </x:c>
    </x:row>
    <x:row r="64" ht="28.799999237060547">
      <x:c r="A64" s="2" t="s">
        <x:v>376</x:v>
      </x:c>
      <x:c r="B64" s="2" t="s">
        <x:v>218</x:v>
      </x:c>
      <x:c r="C64" s="6">
        <x:v>12000</x:v>
      </x:c>
      <x:c r="D64" s="6">
        <x:v>44</x:v>
      </x:c>
      <x:c r="E64" s="2" t="s">
        <x:v>439</x:v>
      </x:c>
      <x:c r="F64" s="7">
        <x:v>0.88365384615384612</x:v>
      </x:c>
      <x:c r="G64" s="7">
        <x:v>0.95352155012948592</x:v>
      </x:c>
      <x:c r="H64" s="7">
        <x:v>0.87323943661971826</x:v>
      </x:c>
      <x:c r="I64" s="7">
        <x:v>-1.0819419548340421</x:v>
      </x:c>
      <x:c r="J64" s="7">
        <x:v>0.37848137270192878</x:v>
      </x:c>
      <x:c r="K64" s="7">
        <x:v>1.6032817733411361E-2</x:v>
      </x:c>
      <x:c r="L64" s="7">
        <x:v>0.37589241337532753</x:v>
      </x:c>
      <x:c r="M64" s="7">
        <x:v>1.683161224684079E-2</x:v>
      </x:c>
    </x:row>
    <x:row r="65" ht="28.799999237060547">
      <x:c r="A65" s="2" t="s">
        <x:v>376</x:v>
      </x:c>
      <x:c r="B65" s="2" t="s">
        <x:v>218</x:v>
      </x:c>
      <x:c r="C65" s="6">
        <x:v>12000</x:v>
      </x:c>
      <x:c r="D65" s="6">
        <x:v>45</x:v>
      </x:c>
      <x:c r="E65" s="2" t="s">
        <x:v>440</x:v>
      </x:c>
      <x:c r="F65" s="7">
        <x:v>0.86634615384615377</x:v>
      </x:c>
      <x:c r="G65" s="7">
        <x:v>0.94275641027571189</x:v>
      </x:c>
      <x:c r="H65" s="7">
        <x:v>0.88</x:v>
      </x:c>
      <x:c r="I65" s="7">
        <x:v>-1.282118052423155</x:v>
      </x:c>
      <x:c r="J65" s="7">
        <x:v>0.56003587391227672</x:v>
      </x:c>
      <x:c r="K65" s="7">
        <x:v>1.7147483205466491E-4</x:v>
      </x:c>
      <x:c r="L65" s="7">
        <x:v>0.43350610541348561</x:v>
      </x:c>
      <x:c r="M65" s="7">
        <x:v>5.1994964388248554E-3</x:v>
      </x:c>
    </x:row>
    <x:row r="66" ht="28.799999237060547">
      <x:c r="A66" s="2" t="s">
        <x:v>376</x:v>
      </x:c>
      <x:c r="B66" s="2" t="s">
        <x:v>218</x:v>
      </x:c>
      <x:c r="C66" s="6">
        <x:v>12000</x:v>
      </x:c>
      <x:c r="D66" s="6">
        <x:v>46</x:v>
      </x:c>
      <x:c r="E66" s="2" t="s">
        <x:v>441</x:v>
      </x:c>
      <x:c r="F66" s="7">
        <x:v>0.85480769230769227</x:v>
      </x:c>
      <x:c r="G66" s="7">
        <x:v>0.93826683235678043</x:v>
      </x:c>
      <x:c r="H66" s="7">
        <x:v>0.86021505376344087</x:v>
      </x:c>
      <x:c r="I66" s="7">
        <x:v>-1.105075850265101</x:v>
      </x:c>
      <x:c r="J66" s="7">
        <x:v>0.54892880057078941</x:v>
      </x:c>
      <x:c r="K66" s="7">
        <x:v>2.4464279232285429E-4</x:v>
      </x:c>
      <x:c r="L66" s="7">
        <x:v>0.37427075148745148</x:v>
      </x:c>
      <x:c r="M66" s="7">
        <x:v>1.7348833801954629E-2</x:v>
      </x:c>
    </x:row>
    <x:row r="67" ht="28.799999237060547">
      <x:c r="A67" s="2" t="s">
        <x:v>376</x:v>
      </x:c>
      <x:c r="B67" s="2" t="s">
        <x:v>218</x:v>
      </x:c>
      <x:c r="C67" s="6">
        <x:v>12000</x:v>
      </x:c>
      <x:c r="D67" s="6">
        <x:v>47</x:v>
      </x:c>
      <x:c r="E67" s="2" t="s">
        <x:v>442</x:v>
      </x:c>
      <x:c r="F67" s="7">
        <x:v>0.87115384615384617</x:v>
      </x:c>
      <x:c r="G67" s="7">
        <x:v>0.94152821684296317</x:v>
      </x:c>
      <x:c r="H67" s="7">
        <x:v>0.86111111111111116</x:v>
      </x:c>
      <x:c r="I67" s="7">
        <x:v>-1.325317120575753</x:v>
      </x:c>
      <x:c r="J67" s="7">
        <x:v>0.32906187536596782</x:v>
      </x:c>
      <x:c r="K67" s="7">
        <x:v>3.8143375333367688E-2</x:v>
      </x:c>
      <x:c r="L67" s="7">
        <x:v>0.40532085450621369</x:v>
      </x:c>
      <x:c r="M67" s="7">
        <x:v>9.4699694660277008E-3</x:v>
      </x:c>
    </x:row>
    <x:row r="68" ht="28.799999237060547">
      <x:c r="A68" s="2" t="s">
        <x:v>376</x:v>
      </x:c>
      <x:c r="B68" s="2" t="s">
        <x:v>218</x:v>
      </x:c>
      <x:c r="C68" s="6">
        <x:v>12000</x:v>
      </x:c>
      <x:c r="D68" s="6">
        <x:v>48</x:v>
      </x:c>
      <x:c r="E68" s="2" t="s">
        <x:v>443</x:v>
      </x:c>
      <x:c r="F68" s="7">
        <x:v>0.83653846153846156</x:v>
      </x:c>
      <x:c r="G68" s="7">
        <x:v>0.93146739365282849</x:v>
      </x:c>
      <x:c r="H68" s="7">
        <x:v>0.88311688311688308</x:v>
      </x:c>
      <x:c r="I68" s="7">
        <x:v>-1.3470927148748131</x:v>
      </x:c>
      <x:c r="J68" s="7">
        <x:v>0.62838980454703808</x:v>
      </x:c>
      <x:c r="K68" s="7">
        <x:v>1.4147896803875431E-5</x:v>
      </x:c>
      <x:c r="L68" s="7">
        <x:v>0.50496672977899792</x:v>
      </x:c>
      <x:c r="M68" s="7">
        <x:v>8.9019444429755303E-4</x:v>
      </x:c>
    </x:row>
    <x:row r="69" ht="28.799999237060547">
      <x:c r="A69" s="2" t="s">
        <x:v>376</x:v>
      </x:c>
      <x:c r="B69" s="2" t="s">
        <x:v>218</x:v>
      </x:c>
      <x:c r="C69" s="6">
        <x:v>12000</x:v>
      </x:c>
      <x:c r="D69" s="6">
        <x:v>49</x:v>
      </x:c>
      <x:c r="E69" s="2" t="s">
        <x:v>444</x:v>
      </x:c>
      <x:c r="F69" s="7">
        <x:v>0.76634615384615379</x:v>
      </x:c>
      <x:c r="G69" s="7">
        <x:v>0.89459639393440371</x:v>
      </x:c>
      <x:c r="H69" s="7">
        <x:v>0.86021505376344087</x:v>
      </x:c>
      <x:c r="I69" s="7">
        <x:v>-1.2052309688633089</x:v>
      </x:c>
      <x:c r="J69" s="7">
        <x:v>0.48926092304513957</x:v>
      </x:c>
      <x:c r="K69" s="7">
        <x:v>1.356038932652937E-3</x:v>
      </x:c>
      <x:c r="L69" s="7">
        <x:v>0.37966496540824751</x:v>
      </x:c>
      <x:c r="M69" s="7">
        <x:v>1.5678427679315932E-2</x:v>
      </x:c>
    </x:row>
    <x:row r="70" ht="28.799999237060547">
      <x:c r="A70" s="2" t="s">
        <x:v>376</x:v>
      </x:c>
      <x:c r="B70" s="2" t="s">
        <x:v>218</x:v>
      </x:c>
      <x:c r="C70" s="6">
        <x:v>12000</x:v>
      </x:c>
      <x:c r="D70" s="6">
        <x:v>50</x:v>
      </x:c>
      <x:c r="E70" s="2" t="s">
        <x:v>445</x:v>
      </x:c>
      <x:c r="F70" s="7">
        <x:v>0.86538461538461542</x:v>
      </x:c>
      <x:c r="G70" s="7">
        <x:v>0.94600030755784004</x:v>
      </x:c>
      <x:c r="H70" s="7">
        <x:v>0.88</x:v>
      </x:c>
      <x:c r="I70" s="7">
        <x:v>-1.3665479682243771</x:v>
      </x:c>
      <x:c r="J70" s="7">
        <x:v>0.18322110189447249</x:v>
      </x:c>
      <x:c r="K70" s="7">
        <x:v>0.25777791518289223</x:v>
      </x:c>
      <x:c r="L70" s="7">
        <x:v>0.31381543087957853</x:v>
      </x:c>
      <x:c r="M70" s="7">
        <x:v>4.8616737887671527E-2</x:v>
      </x:c>
    </x:row>
    <x:row r="71" ht="28.799999237060547">
      <x:c r="A71" s="2" t="s">
        <x:v>376</x:v>
      </x:c>
      <x:c r="B71" s="2" t="s">
        <x:v>218</x:v>
      </x:c>
      <x:c r="C71" s="6">
        <x:v>12000</x:v>
      </x:c>
      <x:c r="D71" s="6">
        <x:v>51</x:v>
      </x:c>
      <x:c r="E71" s="2" t="s">
        <x:v>446</x:v>
      </x:c>
      <x:c r="F71" s="7">
        <x:v>0.73076923076923062</x:v>
      </x:c>
      <x:c r="G71" s="7">
        <x:v>0.86108362856369081</x:v>
      </x:c>
      <x:c r="H71" s="7">
        <x:v>0.86021505376344087</x:v>
      </x:c>
      <x:c r="I71" s="7">
        <x:v>-1.0243295563106569</x:v>
      </x:c>
      <x:c r="J71" s="7">
        <x:v>5.53440912182315E-2</x:v>
      </x:c>
      <x:c r="K71" s="7">
        <x:v>0.73446844323392024</x:v>
      </x:c>
      <x:c r="L71" s="7">
        <x:v>-0.111755848800173</x:v>
      </x:c>
      <x:c r="M71" s="7">
        <x:v>0.49236716868925767</x:v>
      </x:c>
    </x:row>
    <x:row r="72" ht="28.799999237060547">
      <x:c r="A72" s="2" t="s">
        <x:v>376</x:v>
      </x:c>
      <x:c r="B72" s="2" t="s">
        <x:v>218</x:v>
      </x:c>
      <x:c r="C72" s="6">
        <x:v>12000</x:v>
      </x:c>
      <x:c r="D72" s="6">
        <x:v>52</x:v>
      </x:c>
      <x:c r="E72" s="2" t="s">
        <x:v>447</x:v>
      </x:c>
      <x:c r="F72" s="7">
        <x:v>0.89711538461538465</x:v>
      </x:c>
      <x:c r="G72" s="7">
        <x:v>0.96171675231304721</x:v>
      </x:c>
      <x:c r="H72" s="7">
        <x:v>0.89743589743589747</x:v>
      </x:c>
      <x:c r="I72" s="7">
        <x:v>-1.339826266528247</x:v>
      </x:c>
      <x:c r="J72" s="7">
        <x:v>0.47835503030066723</x:v>
      </x:c>
      <x:c r="K72" s="7">
        <x:v>1.7955675659601809E-3</x:v>
      </x:c>
      <x:c r="L72" s="7">
        <x:v>0.39320766646856292</x:v>
      </x:c>
      <x:c r="M72" s="7">
        <x:v>1.2072227282217169E-2</x:v>
      </x:c>
    </x:row>
    <x:row r="73" ht="28.799999237060547">
      <x:c r="A73" s="2" t="s">
        <x:v>376</x:v>
      </x:c>
      <x:c r="B73" s="2" t="s">
        <x:v>218</x:v>
      </x:c>
      <x:c r="C73" s="6">
        <x:v>12000</x:v>
      </x:c>
      <x:c r="D73" s="6">
        <x:v>53</x:v>
      </x:c>
      <x:c r="E73" s="2" t="s">
        <x:v>448</x:v>
      </x:c>
      <x:c r="F73" s="7">
        <x:v>0.81153846153846154</x:v>
      </x:c>
      <x:c r="G73" s="7">
        <x:v>0.92643264705460293</x:v>
      </x:c>
      <x:c r="H73" s="7">
        <x:v>0.86842105263157898</x:v>
      </x:c>
      <x:c r="I73" s="7">
        <x:v>-0.98907474587836419</x:v>
      </x:c>
      <x:c r="J73" s="7">
        <x:v>0.34480932214842708</x:v>
      </x:c>
      <x:c r="K73" s="7">
        <x:v>2.933719815674414E-2</x:v>
      </x:c>
      <x:c r="L73" s="7">
        <x:v>0.35934949168612579</x:v>
      </x:c>
      <x:c r="M73" s="7">
        <x:v>2.2767055780184051E-2</x:v>
      </x:c>
    </x:row>
    <x:row r="74" ht="28.799999237060547">
      <x:c r="A74" s="2" t="s">
        <x:v>376</x:v>
      </x:c>
      <x:c r="B74" s="2" t="s">
        <x:v>218</x:v>
      </x:c>
      <x:c r="C74" s="6">
        <x:v>12000</x:v>
      </x:c>
      <x:c r="D74" s="6">
        <x:v>54</x:v>
      </x:c>
      <x:c r="E74" s="2" t="s">
        <x:v>449</x:v>
      </x:c>
      <x:c r="F74" s="7">
        <x:v>0.76923076923076916</x:v>
      </x:c>
      <x:c r="G74" s="7">
        <x:v>0.90594822763372829</x:v>
      </x:c>
      <x:c r="H74" s="7">
        <x:v>0.86021505376344087</x:v>
      </x:c>
      <x:c r="I74" s="7">
        <x:v>-1.150172993735779</x:v>
      </x:c>
      <x:c r="J74" s="7">
        <x:v>0.36970210074787779</x:v>
      </x:c>
      <x:c r="K74" s="7">
        <x:v>1.887841502831587E-2</x:v>
      </x:c>
      <x:c r="L74" s="7">
        <x:v>0.28345009740689442</x:v>
      </x:c>
      <x:c r="M74" s="7">
        <x:v>7.6328068019284712E-2</x:v>
      </x:c>
    </x:row>
    <x:row r="75" ht="28.799999237060547">
      <x:c r="A75" s="2" t="s">
        <x:v>376</x:v>
      </x:c>
      <x:c r="B75" s="2" t="s">
        <x:v>218</x:v>
      </x:c>
      <x:c r="C75" s="6">
        <x:v>12000</x:v>
      </x:c>
      <x:c r="D75" s="6">
        <x:v>55</x:v>
      </x:c>
      <x:c r="E75" s="2" t="s">
        <x:v>450</x:v>
      </x:c>
      <x:c r="F75" s="7">
        <x:v>0.82403846153846161</x:v>
      </x:c>
      <x:c r="G75" s="7">
        <x:v>0.92444561172185946</x:v>
      </x:c>
      <x:c r="H75" s="7">
        <x:v>0.86021505376344087</x:v>
      </x:c>
      <x:c r="I75" s="7">
        <x:v>-1.0999237789403771</x:v>
      </x:c>
      <x:c r="J75" s="7">
        <x:v>0.49140111909054163</x:v>
      </x:c>
      <x:c r="K75" s="7">
        <x:v>1.281951617806002E-3</x:v>
      </x:c>
      <x:c r="L75" s="7">
        <x:v>0.39940897388889168</x:v>
      </x:c>
      <x:c r="M75" s="7">
        <x:v>1.067278797007663E-2</x:v>
      </x:c>
    </x:row>
    <x:row r="76" ht="28.799999237060547">
      <x:c r="A76" s="2" t="s">
        <x:v>376</x:v>
      </x:c>
      <x:c r="B76" s="2" t="s">
        <x:v>218</x:v>
      </x:c>
      <x:c r="C76" s="6">
        <x:v>12000</x:v>
      </x:c>
      <x:c r="D76" s="6">
        <x:v>56</x:v>
      </x:c>
      <x:c r="E76" s="2" t="s">
        <x:v>451</x:v>
      </x:c>
      <x:c r="F76" s="7">
        <x:v>0.94134615384615383</x:v>
      </x:c>
      <x:c r="G76" s="7">
        <x:v>0.9762899682382058</x:v>
      </x:c>
      <x:c r="H76" s="7">
        <x:v>0.92500000000000004</x:v>
      </x:c>
      <x:c r="I76" s="7">
        <x:v>-0.95497909840498374</x:v>
      </x:c>
      <x:c r="J76" s="7">
        <x:v>0.46296036929388529</x:v>
      </x:c>
      <x:c r="K76" s="7">
        <x:v>2.6283477781114239E-3</x:v>
      </x:c>
      <x:c r="L76" s="7">
        <x:v>0.38971938769413789</x:v>
      </x:c>
      <x:c r="M76" s="7">
        <x:v>1.292589003950512E-2</x:v>
      </x:c>
    </x:row>
    <x:row r="77" ht="28.799999237060547">
      <x:c r="A77" s="2" t="s">
        <x:v>376</x:v>
      </x:c>
      <x:c r="B77" s="2" t="s">
        <x:v>218</x:v>
      </x:c>
      <x:c r="C77" s="6">
        <x:v>12000</x:v>
      </x:c>
      <x:c r="D77" s="6">
        <x:v>57</x:v>
      </x:c>
      <x:c r="E77" s="2" t="s">
        <x:v>452</x:v>
      </x:c>
      <x:c r="F77" s="7">
        <x:v>0.78942307692307689</x:v>
      </x:c>
      <x:c r="G77" s="7">
        <x:v>0.91268126058910992</x:v>
      </x:c>
      <x:c r="H77" s="7">
        <x:v>0.86021505376344087</x:v>
      </x:c>
      <x:c r="I77" s="7">
        <x:v>-1.1380984816318791</x:v>
      </x:c>
      <x:c r="J77" s="7">
        <x:v>0.40490573953132247</x:v>
      </x:c>
      <x:c r="K77" s="7">
        <x:v>9.5504637508593507E-3</x:v>
      </x:c>
      <x:c r="L77" s="7">
        <x:v>0.38240448809963229</x:v>
      </x:c>
      <x:c r="M77" s="7">
        <x:v>1.48834533694333E-2</x:v>
      </x:c>
    </x:row>
    <x:row r="78" ht="28.799999237060547">
      <x:c r="A78" s="2" t="s">
        <x:v>376</x:v>
      </x:c>
      <x:c r="B78" s="2" t="s">
        <x:v>218</x:v>
      </x:c>
      <x:c r="C78" s="6">
        <x:v>12000</x:v>
      </x:c>
      <x:c r="D78" s="6">
        <x:v>58</x:v>
      </x:c>
      <x:c r="E78" s="2" t="s">
        <x:v>453</x:v>
      </x:c>
      <x:c r="F78" s="7">
        <x:v>0.74230769230769222</x:v>
      </x:c>
      <x:c r="G78" s="7">
        <x:v>0.88730485313150864</x:v>
      </x:c>
      <x:c r="H78" s="7">
        <x:v>0.86021505376344087</x:v>
      </x:c>
      <x:c r="I78" s="7">
        <x:v>-1.213808469836632</x:v>
      </x:c>
      <x:c r="J78" s="7">
        <x:v>0.41017914535832611</x:v>
      </x:c>
      <x:c r="K78" s="7">
        <x:v>8.5702316318795688E-3</x:v>
      </x:c>
      <x:c r="L78" s="7">
        <x:v>0.38549202643555941</x:v>
      </x:c>
      <x:c r="M78" s="7">
        <x:v>1.40286038592515E-2</x:v>
      </x:c>
    </x:row>
    <x:row r="79" ht="28.799999237060547">
      <x:c r="A79" s="2" t="s">
        <x:v>376</x:v>
      </x:c>
      <x:c r="B79" s="2" t="s">
        <x:v>218</x:v>
      </x:c>
      <x:c r="C79" s="6">
        <x:v>12000</x:v>
      </x:c>
      <x:c r="D79" s="6">
        <x:v>59</x:v>
      </x:c>
      <x:c r="E79" s="2" t="s">
        <x:v>454</x:v>
      </x:c>
      <x:c r="F79" s="7">
        <x:v>0.8471153846153846</x:v>
      </x:c>
      <x:c r="G79" s="7">
        <x:v>0.93027681470063872</x:v>
      </x:c>
      <x:c r="H79" s="7">
        <x:v>0.86486486486486491</x:v>
      </x:c>
      <x:c r="I79" s="7">
        <x:v>-1.307284103079432</x:v>
      </x:c>
      <x:c r="J79" s="7">
        <x:v>0.49616597165694698</x:v>
      </x:c>
      <x:c r="K79" s="7">
        <x:v>1.129739225116349E-3</x:v>
      </x:c>
      <x:c r="L79" s="7">
        <x:v>0.41787467089031782</x:v>
      </x:c>
      <x:c r="M79" s="7">
        <x:v>7.2951723262740537E-3</x:v>
      </x:c>
    </x:row>
    <x:row r="80" ht="28.799999237060547">
      <x:c r="A80" s="2" t="s">
        <x:v>376</x:v>
      </x:c>
      <x:c r="B80" s="2" t="s">
        <x:v>218</x:v>
      </x:c>
      <x:c r="C80" s="6">
        <x:v>12000</x:v>
      </x:c>
      <x:c r="D80" s="6">
        <x:v>60</x:v>
      </x:c>
      <x:c r="E80" s="2" t="s">
        <x:v>455</x:v>
      </x:c>
      <x:c r="F80" s="7">
        <x:v>0.87307692307692297</x:v>
      </x:c>
      <x:c r="G80" s="7">
        <x:v>0.94737471590152988</x:v>
      </x:c>
      <x:c r="H80" s="7">
        <x:v>0.89743589743589747</x:v>
      </x:c>
      <x:c r="I80" s="7">
        <x:v>-1.298095163632037</x:v>
      </x:c>
      <x:c r="J80" s="7">
        <x:v>0.32621265679842032</x:v>
      </x:c>
      <x:c r="K80" s="7">
        <x:v>3.9946452401678892E-2</x:v>
      </x:c>
      <x:c r="L80" s="7">
        <x:v>0.36885536146694142</x:v>
      </x:c>
      <x:c r="M80" s="7">
        <x:v>1.9173981491575409E-2</x:v>
      </x:c>
    </x:row>
    <x:row r="81" ht="28.799999237060547">
      <x:c r="A81" s="2" t="s">
        <x:v>376</x:v>
      </x:c>
      <x:c r="B81" s="2" t="s">
        <x:v>218</x:v>
      </x:c>
      <x:c r="C81" s="6">
        <x:v>12000</x:v>
      </x:c>
      <x:c r="D81" s="6">
        <x:v>61</x:v>
      </x:c>
      <x:c r="E81" s="2" t="s">
        <x:v>456</x:v>
      </x:c>
      <x:c r="F81" s="7">
        <x:v>0.80288461538461542</x:v>
      </x:c>
      <x:c r="G81" s="7">
        <x:v>0.91356886707709328</x:v>
      </x:c>
      <x:c r="H81" s="7">
        <x:v>0.88607594936708856</x:v>
      </x:c>
      <x:c r="I81" s="7">
        <x:v>-1.344455990987504</x:v>
      </x:c>
      <x:c r="J81" s="7">
        <x:v>0.23109077385748769</x:v>
      </x:c>
      <x:c r="K81" s="7">
        <x:v>0.15137153834050041</x:v>
      </x:c>
      <x:c r="L81" s="7">
        <x:v>0.29219595553511618</x:v>
      </x:c>
      <x:c r="M81" s="7">
        <x:v>6.7314765304631652E-2</x:v>
      </x:c>
    </x:row>
    <x:row r="82" ht="28.799999237060547">
      <x:c r="A82" s="2" t="s">
        <x:v>376</x:v>
      </x:c>
      <x:c r="B82" s="2" t="s">
        <x:v>218</x:v>
      </x:c>
      <x:c r="C82" s="6">
        <x:v>12000</x:v>
      </x:c>
      <x:c r="D82" s="6">
        <x:v>62</x:v>
      </x:c>
      <x:c r="E82" s="2" t="s">
        <x:v>457</x:v>
      </x:c>
      <x:c r="F82" s="7">
        <x:v>0.85000000000000009</x:v>
      </x:c>
      <x:c r="G82" s="7">
        <x:v>0.94510485380288978</x:v>
      </x:c>
      <x:c r="H82" s="7">
        <x:v>0.86486486486486491</x:v>
      </x:c>
      <x:c r="I82" s="7">
        <x:v>-1.0635440401568781</x:v>
      </x:c>
      <x:c r="J82" s="7">
        <x:v>0.39973803031391569</x:v>
      </x:c>
      <x:c r="K82" s="7">
        <x:v>1.0602570378096129E-2</x:v>
      </x:c>
      <x:c r="L82" s="7">
        <x:v>0.38416310981880858</x:v>
      </x:c>
      <x:c r="M82" s="7">
        <x:v>1.439130216790634E-2</x:v>
      </x:c>
    </x:row>
    <x:row r="83" ht="28.799999237060547">
      <x:c r="A83" s="2" t="s">
        <x:v>376</x:v>
      </x:c>
      <x:c r="B83" s="2" t="s">
        <x:v>218</x:v>
      </x:c>
      <x:c r="C83" s="6">
        <x:v>12000</x:v>
      </x:c>
      <x:c r="D83" s="6">
        <x:v>63</x:v>
      </x:c>
      <x:c r="E83" s="2" t="s">
        <x:v>458</x:v>
      </x:c>
      <x:c r="F83" s="7">
        <x:v>0.91249999999999998</x:v>
      </x:c>
      <x:c r="G83" s="7">
        <x:v>0.95707547169811324</x:v>
      </x:c>
      <x:c r="H83" s="7">
        <x:v>0.90410958904109584</x:v>
      </x:c>
      <x:c r="I83" s="7">
        <x:v>-0.93202250079440629</x:v>
      </x:c>
      <x:c r="J83" s="7">
        <x:v>0.40906886389729452</x:v>
      </x:c>
      <x:c r="K83" s="7">
        <x:v>8.7691108131287762E-3</x:v>
      </x:c>
      <x:c r="L83" s="7">
        <x:v>0.33453542413607967</x:v>
      </x:c>
      <x:c r="M83" s="7">
        <x:v>3.4865889427883268E-2</x:v>
      </x:c>
    </x:row>
    <x:row r="84" ht="28.799999237060547">
      <x:c r="A84" s="2" t="s">
        <x:v>376</x:v>
      </x:c>
      <x:c r="B84" s="2" t="s">
        <x:v>218</x:v>
      </x:c>
      <x:c r="C84" s="6">
        <x:v>12000</x:v>
      </x:c>
      <x:c r="D84" s="6">
        <x:v>64</x:v>
      </x:c>
      <x:c r="E84" s="2" t="s">
        <x:v>459</x:v>
      </x:c>
      <x:c r="F84" s="7">
        <x:v>0.8865384615384615</x:v>
      </x:c>
      <x:c r="G84" s="7">
        <x:v>0.95160622060021227</x:v>
      </x:c>
      <x:c r="H84" s="7">
        <x:v>0.88</x:v>
      </x:c>
      <x:c r="I84" s="7">
        <x:v>-1.2719774484651021</x:v>
      </x:c>
      <x:c r="J84" s="7">
        <x:v>0.1462639878961354</x:v>
      </x:c>
      <x:c r="K84" s="7">
        <x:v>0.36781281799855747</x:v>
      </x:c>
      <x:c r="L84" s="7">
        <x:v>5.5256398922282748E-2</x:v>
      </x:c>
      <x:c r="M84" s="7">
        <x:v>0.73487394577075649</x:v>
      </x:c>
    </x:row>
    <x:row r="85" ht="28.799999237060547">
      <x:c r="A85" s="2" t="s">
        <x:v>376</x:v>
      </x:c>
      <x:c r="B85" s="2" t="s">
        <x:v>218</x:v>
      </x:c>
      <x:c r="C85" s="6">
        <x:v>12000</x:v>
      </x:c>
      <x:c r="D85" s="6">
        <x:v>65</x:v>
      </x:c>
      <x:c r="E85" s="2" t="s">
        <x:v>460</x:v>
      </x:c>
      <x:c r="F85" s="7">
        <x:v>0.92211538461538456</x:v>
      </x:c>
      <x:c r="G85" s="7">
        <x:v>0.96773525873541777</x:v>
      </x:c>
      <x:c r="H85" s="7">
        <x:v>0.92307692307692313</x:v>
      </x:c>
      <x:c r="I85" s="7">
        <x:v>-1.233983186780929</x:v>
      </x:c>
      <x:c r="J85" s="7">
        <x:v>0.42205541953428238</x:v>
      </x:c>
      <x:c r="K85" s="7">
        <x:v>6.6736043571055644E-3</x:v>
      </x:c>
      <x:c r="L85" s="7">
        <x:v>0.40270425116828229</x:v>
      </x:c>
      <x:c r="M85" s="7">
        <x:v>9.9872054839969006E-3</x:v>
      </x:c>
    </x:row>
    <x:row r="86" ht="28.799999237060547">
      <x:c r="A86" s="2" t="s">
        <x:v>376</x:v>
      </x:c>
      <x:c r="B86" s="2" t="s">
        <x:v>218</x:v>
      </x:c>
      <x:c r="C86" s="6">
        <x:v>12000</x:v>
      </x:c>
      <x:c r="D86" s="6">
        <x:v>66</x:v>
      </x:c>
      <x:c r="E86" s="2" t="s">
        <x:v>461</x:v>
      </x:c>
      <x:c r="F86" s="7">
        <x:v>0.75</x:v>
      </x:c>
      <x:c r="G86" s="7">
        <x:v>0.88889075403909745</x:v>
      </x:c>
      <x:c r="H86" s="7">
        <x:v>0.86021505376344087</x:v>
      </x:c>
      <x:c r="I86" s="7">
        <x:v>-1.1757843207025891</x:v>
      </x:c>
      <x:c r="J86" s="7">
        <x:v>0.47210787281154992</x:v>
      </x:c>
      <x:c r="K86" s="7">
        <x:v>2.10025431211629E-3</x:v>
      </x:c>
      <x:c r="L86" s="7">
        <x:v>0.4394297586801954</x:v>
      </x:c>
      <x:c r="M86" s="7">
        <x:v>4.5544001438574122E-3</x:v>
      </x:c>
    </x:row>
    <x:row r="87" ht="28.799999237060547">
      <x:c r="A87" s="2" t="s">
        <x:v>376</x:v>
      </x:c>
      <x:c r="B87" s="2" t="s">
        <x:v>218</x:v>
      </x:c>
      <x:c r="C87" s="6">
        <x:v>12000</x:v>
      </x:c>
      <x:c r="D87" s="6">
        <x:v>67</x:v>
      </x:c>
      <x:c r="E87" s="2" t="s">
        <x:v>462</x:v>
      </x:c>
      <x:c r="F87" s="7">
        <x:v>0.83461538461538454</x:v>
      </x:c>
      <x:c r="G87" s="7">
        <x:v>0.92685484295796161</x:v>
      </x:c>
      <x:c r="H87" s="7">
        <x:v>0.86486486486486491</x:v>
      </x:c>
      <x:c r="I87" s="7">
        <x:v>-0.98931695781632079</x:v>
      </x:c>
      <x:c r="J87" s="7">
        <x:v>0.37125926156759192</x:v>
      </x:c>
      <x:c r="K87" s="7">
        <x:v>1.834484408068307E-2</x:v>
      </x:c>
      <x:c r="L87" s="7">
        <x:v>0.37751772455885318</x:v>
      </x:c>
      <x:c r="M87" s="7">
        <x:v>1.632632085533298E-2</x:v>
      </x:c>
    </x:row>
    <x:row r="88" ht="28.799999237060547">
      <x:c r="A88" s="2" t="s">
        <x:v>376</x:v>
      </x:c>
      <x:c r="B88" s="2" t="s">
        <x:v>218</x:v>
      </x:c>
      <x:c r="C88" s="6">
        <x:v>12000</x:v>
      </x:c>
      <x:c r="D88" s="6">
        <x:v>68</x:v>
      </x:c>
      <x:c r="E88" s="2" t="s">
        <x:v>463</x:v>
      </x:c>
      <x:c r="F88" s="7">
        <x:v>0.84807692307692306</x:v>
      </x:c>
      <x:c r="G88" s="7">
        <x:v>0.93329660888493637</x:v>
      </x:c>
      <x:c r="H88" s="7">
        <x:v>0.86486486486486491</x:v>
      </x:c>
      <x:c r="I88" s="7">
        <x:v>-1.2066497590931911</x:v>
      </x:c>
      <x:c r="J88" s="7">
        <x:v>0.52435204477372699</x:v>
      </x:c>
      <x:c r="K88" s="7">
        <x:v>5.1462381415257031E-4</x:v>
      </x:c>
      <x:c r="L88" s="7">
        <x:v>0.48242059960681999</x:v>
      </x:c>
      <x:c r="M88" s="7">
        <x:v>1.6188775373351971E-3</x:v>
      </x:c>
    </x:row>
    <x:row r="89" ht="28.799999237060547">
      <x:c r="A89" s="2" t="s">
        <x:v>376</x:v>
      </x:c>
      <x:c r="B89" s="2" t="s">
        <x:v>218</x:v>
      </x:c>
      <x:c r="C89" s="6">
        <x:v>12000</x:v>
      </x:c>
      <x:c r="D89" s="6">
        <x:v>69</x:v>
      </x:c>
      <x:c r="E89" s="2" t="s">
        <x:v>464</x:v>
      </x:c>
      <x:c r="F89" s="7">
        <x:v>0.84326923076923077</x:v>
      </x:c>
      <x:c r="G89" s="7">
        <x:v>0.93180248239514785</x:v>
      </x:c>
      <x:c r="H89" s="7">
        <x:v>0.86021505376344087</x:v>
      </x:c>
      <x:c r="I89" s="7">
        <x:v>-1.383089547900229</x:v>
      </x:c>
      <x:c r="J89" s="7">
        <x:v>0.63661397218163718</x:v>
      </x:c>
      <x:c r="K89" s="7">
        <x:v>1.0058914425696301E-5</x:v>
      </x:c>
      <x:c r="L89" s="7">
        <x:v>0.53265780087263437</x:v>
      </x:c>
      <x:c r="M89" s="7">
        <x:v>4.0280751226224828E-4</x:v>
      </x:c>
    </x:row>
    <x:row r="90" ht="28.799999237060547">
      <x:c r="A90" s="2" t="s">
        <x:v>376</x:v>
      </x:c>
      <x:c r="B90" s="2" t="s">
        <x:v>218</x:v>
      </x:c>
      <x:c r="C90" s="6">
        <x:v>12000</x:v>
      </x:c>
      <x:c r="D90" s="6">
        <x:v>70</x:v>
      </x:c>
      <x:c r="E90" s="2" t="s">
        <x:v>465</x:v>
      </x:c>
      <x:c r="F90" s="7">
        <x:v>0.75480769230769218</x:v>
      </x:c>
      <x:c r="G90" s="7">
        <x:v>0.89708235853491358</x:v>
      </x:c>
      <x:c r="H90" s="7">
        <x:v>0.86021505376344087</x:v>
      </x:c>
      <x:c r="I90" s="7">
        <x:v>-1.209366451794599</x:v>
      </x:c>
      <x:c r="J90" s="7">
        <x:v>0.61533923303938798</x:v>
      </x:c>
      <x:c r="K90" s="7">
        <x:v>2.3835319336621529E-5</x:v>
      </x:c>
      <x:c r="L90" s="7">
        <x:v>0.3747787726705501</x:v>
      </x:c>
      <x:c r="M90" s="7">
        <x:v>1.7185383358716909E-2</x:v>
      </x:c>
    </x:row>
    <x:row r="91" ht="28.799999237060547">
      <x:c r="A91" s="2" t="s">
        <x:v>376</x:v>
      </x:c>
      <x:c r="B91" s="2" t="s">
        <x:v>218</x:v>
      </x:c>
      <x:c r="C91" s="6">
        <x:v>12000</x:v>
      </x:c>
      <x:c r="D91" s="6">
        <x:v>71</x:v>
      </x:c>
      <x:c r="E91" s="2" t="s">
        <x:v>466</x:v>
      </x:c>
      <x:c r="F91" s="7">
        <x:v>0.80865384615384617</x:v>
      </x:c>
      <x:c r="G91" s="7">
        <x:v>0.92217504907605352</x:v>
      </x:c>
      <x:c r="H91" s="7">
        <x:v>0.86021505376344087</x:v>
      </x:c>
      <x:c r="I91" s="7">
        <x:v>-1.283747152183806</x:v>
      </x:c>
      <x:c r="J91" s="7">
        <x:v>0.28380689632659761</x:v>
      </x:c>
      <x:c r="K91" s="7">
        <x:v>7.594277031216938E-2</x:v>
      </x:c>
      <x:c r="L91" s="7">
        <x:v>0.30848631489337541</x:v>
      </x:c>
      <x:c r="M91" s="7">
        <x:v>5.2782230625006803E-2</x:v>
      </x:c>
    </x:row>
    <x:row r="92">
      <x:c r="A92" s="2" t="s">
        <x:v>216</x:v>
      </x:c>
      <x:c r="B92" s="2" t="s">
        <x:v>216</x:v>
      </x:c>
      <x:c r="C92" s="6">
        <x:v>15</x:v>
      </x:c>
      <x:c r="D92" s="6">
        <x:v>1042</x:v>
      </x:c>
      <x:c r="E92" s="2" t="s">
        <x:v>467</x:v>
      </x:c>
      <x:c r="F92" s="7">
        <x:v>0.81923076923076921</x:v>
      </x:c>
      <x:c r="G92" s="7">
        <x:v>0.92661389077286471</x:v>
      </x:c>
      <x:c r="H92" s="7">
        <x:v>0.86021505376344087</x:v>
      </x:c>
      <x:c r="I92" s="7">
        <x:v>-1.065422796937403</x:v>
      </x:c>
      <x:c r="J92" s="7">
        <x:v>0.258102863751349</x:v>
      </x:c>
      <x:c r="K92" s="7">
        <x:v>0.1078348797901713</x:v>
      </x:c>
      <x:c r="L92" s="7">
        <x:v>0.31011888005469701</x:v>
      </x:c>
      <x:c r="M92" s="7">
        <x:v>5.1476805884565137E-2</x:v>
      </x:c>
    </x:row>
    <x:row r="93">
      <x:c r="A93" s="2" t="s">
        <x:v>216</x:v>
      </x:c>
      <x:c r="B93" s="2" t="s">
        <x:v>216</x:v>
      </x:c>
      <x:c r="C93" s="6">
        <x:v>15</x:v>
      </x:c>
      <x:c r="D93" s="6">
        <x:v>1043</x:v>
      </x:c>
      <x:c r="E93" s="2" t="s">
        <x:v>468</x:v>
      </x:c>
      <x:c r="F93" s="7">
        <x:v>0.9096153846153846</x:v>
      </x:c>
      <x:c r="G93" s="7">
        <x:v>0.9616051546460388</x:v>
      </x:c>
      <x:c r="H93" s="7">
        <x:v>0.90909090909090906</x:v>
      </x:c>
      <x:c r="I93" s="7">
        <x:v>-1.4461595396122631</x:v>
      </x:c>
      <x:c r="J93" s="7">
        <x:v>0.19849774008586649</x:v>
      </x:c>
      <x:c r="K93" s="7">
        <x:v>0.21949822882984549</x:v>
      </x:c>
      <x:c r="L93" s="7">
        <x:v>0.29559792749227171</x:v>
      </x:c>
      <x:c r="M93" s="7">
        <x:v>6.4044793469423503E-2</x:v>
      </x:c>
    </x:row>
    <x:row r="94">
      <x:c r="A94" s="2" t="s">
        <x:v>216</x:v>
      </x:c>
      <x:c r="B94" s="2" t="s">
        <x:v>216</x:v>
      </x:c>
      <x:c r="C94" s="6">
        <x:v>15</x:v>
      </x:c>
      <x:c r="D94" s="6">
        <x:v>1044</x:v>
      </x:c>
      <x:c r="E94" s="2" t="s">
        <x:v>469</x:v>
      </x:c>
      <x:c r="F94" s="7">
        <x:v>0.8586538461538461</x:v>
      </x:c>
      <x:c r="G94" s="7">
        <x:v>0.94327231863499816</x:v>
      </x:c>
      <x:c r="H94" s="7">
        <x:v>0.86842105263157898</x:v>
      </x:c>
      <x:c r="I94" s="7">
        <x:v>-1.137408917351018</x:v>
      </x:c>
      <x:c r="J94" s="7">
        <x:v>0.43435064093874431</x:v>
      </x:c>
      <x:c r="K94" s="7">
        <x:v>5.1029411486034227E-3</x:v>
      </x:c>
      <x:c r="L94" s="7">
        <x:v>0.40329730078072717</x:v>
      </x:c>
      <x:c r="M94" s="7">
        <x:v>9.8679062248723005E-3</x:v>
      </x:c>
    </x:row>
    <x:row r="95">
      <x:c r="A95" s="2" t="s">
        <x:v>216</x:v>
      </x:c>
      <x:c r="B95" s="2" t="s">
        <x:v>216</x:v>
      </x:c>
      <x:c r="C95" s="6">
        <x:v>15</x:v>
      </x:c>
      <x:c r="D95" s="6">
        <x:v>1045</x:v>
      </x:c>
      <x:c r="E95" s="2" t="s">
        <x:v>470</x:v>
      </x:c>
      <x:c r="F95" s="7">
        <x:v>0.76346153846153841</x:v>
      </x:c>
      <x:c r="G95" s="7">
        <x:v>0.90316992810360675</x:v>
      </x:c>
      <x:c r="H95" s="7">
        <x:v>0.86021505376344087</x:v>
      </x:c>
      <x:c r="I95" s="7">
        <x:v>-1.2301627291103809</x:v>
      </x:c>
      <x:c r="J95" s="7">
        <x:v>0.28418606385675999</x:v>
      </x:c>
      <x:c r="K95" s="7">
        <x:v>7.5534988210937001E-2</x:v>
      </x:c>
      <x:c r="L95" s="7">
        <x:v>0.21124200919456129</x:v>
      </x:c>
      <x:c r="M95" s="7">
        <x:v>0.19071401800383961</x:v>
      </x:c>
    </x:row>
    <x:row r="96">
      <x:c r="A96" s="2" t="s">
        <x:v>216</x:v>
      </x:c>
      <x:c r="B96" s="2" t="s">
        <x:v>216</x:v>
      </x:c>
      <x:c r="C96" s="6">
        <x:v>15</x:v>
      </x:c>
      <x:c r="D96" s="6">
        <x:v>1046</x:v>
      </x:c>
      <x:c r="E96" s="2" t="s">
        <x:v>471</x:v>
      </x:c>
      <x:c r="F96" s="7">
        <x:v>0.92692307692307696</x:v>
      </x:c>
      <x:c r="G96" s="7">
        <x:v>0.96719559836513236</x:v>
      </x:c>
      <x:c r="H96" s="7">
        <x:v>0.92105263157894735</x:v>
      </x:c>
      <x:c r="I96" s="7">
        <x:v>-1.4172784441752</x:v>
      </x:c>
      <x:c r="J96" s="7">
        <x:v>0.43755887833497531</x:v>
      </x:c>
      <x:c r="K96" s="7">
        <x:v>4.7501775327083544E-3</x:v>
      </x:c>
      <x:c r="L96" s="7">
        <x:v>0.34763935839330001</x:v>
      </x:c>
      <x:c r="M96" s="7">
        <x:v>2.7948461627438359E-2</x:v>
      </x:c>
    </x:row>
    <x:row r="97">
      <x:c r="A97" s="2" t="s">
        <x:v>216</x:v>
      </x:c>
      <x:c r="B97" s="2" t="s">
        <x:v>216</x:v>
      </x:c>
      <x:c r="C97" s="6">
        <x:v>15</x:v>
      </x:c>
      <x:c r="D97" s="6">
        <x:v>1047</x:v>
      </x:c>
      <x:c r="E97" s="2" t="s">
        <x:v>472</x:v>
      </x:c>
      <x:c r="F97" s="7">
        <x:v>0.75000000000000011</x:v>
      </x:c>
      <x:c r="G97" s="7">
        <x:v>0.88948885269478994</x:v>
      </x:c>
      <x:c r="H97" s="7">
        <x:v>0.86021505376344087</x:v>
      </x:c>
      <x:c r="I97" s="7">
        <x:v>-1.0638718754685279</x:v>
      </x:c>
      <x:c r="J97" s="7">
        <x:v>0.30938887303728863</x:v>
      </x:c>
      <x:c r="K97" s="7">
        <x:v>5.2057288293283557E-2</x:v>
      </x:c>
      <x:c r="L97" s="7">
        <x:v>0.27418595021079928</x:v>
      </x:c>
      <x:c r="M97" s="7">
        <x:v>8.6878216111154677E-2</x:v>
      </x:c>
    </x:row>
    <x:row r="98">
      <x:c r="A98" s="2" t="s">
        <x:v>216</x:v>
      </x:c>
      <x:c r="B98" s="2" t="s">
        <x:v>216</x:v>
      </x:c>
      <x:c r="C98" s="6">
        <x:v>15</x:v>
      </x:c>
      <x:c r="D98" s="6">
        <x:v>1048</x:v>
      </x:c>
      <x:c r="E98" s="2" t="s">
        <x:v>473</x:v>
      </x:c>
      <x:c r="F98" s="7">
        <x:v>0.83846153846153848</x:v>
      </x:c>
      <x:c r="G98" s="7">
        <x:v>0.9310568538602243</x:v>
      </x:c>
      <x:c r="H98" s="7">
        <x:v>0.86021505376344087</x:v>
      </x:c>
      <x:c r="I98" s="7">
        <x:v>-1.4397262767603649</x:v>
      </x:c>
      <x:c r="J98" s="7">
        <x:v>0.5166784433703745</x:v>
      </x:c>
      <x:c r="K98" s="7">
        <x:v>6.417885180788974E-4</x:v>
      </x:c>
      <x:c r="L98" s="7">
        <x:v>0.50843840936909301</x:v>
      </x:c>
      <x:c r="M98" s="7">
        <x:v>8.0889585695439645E-4</x:v>
      </x:c>
    </x:row>
    <x:row r="99">
      <x:c r="A99" s="2" t="s">
        <x:v>216</x:v>
      </x:c>
      <x:c r="B99" s="2" t="s">
        <x:v>216</x:v>
      </x:c>
      <x:c r="C99" s="6">
        <x:v>15</x:v>
      </x:c>
      <x:c r="D99" s="6">
        <x:v>1049</x:v>
      </x:c>
      <x:c r="E99" s="2" t="s">
        <x:v>474</x:v>
      </x:c>
      <x:c r="F99" s="7">
        <x:v>0.83557692307692311</x:v>
      </x:c>
      <x:c r="G99" s="7">
        <x:v>0.92889354601985985</x:v>
      </x:c>
      <x:c r="H99" s="7">
        <x:v>0.86021505376344087</x:v>
      </x:c>
      <x:c r="I99" s="7">
        <x:v>-1.040903840434372</x:v>
      </x:c>
      <x:c r="J99" s="7">
        <x:v>0.2286937579052421</x:v>
      </x:c>
      <x:c r="K99" s="7">
        <x:v>0.1557789483836419</x:v>
      </x:c>
      <x:c r="L99" s="7">
        <x:v>8.6029768009171836E-2</x:v>
      </x:c>
      <x:c r="M99" s="7">
        <x:v>0.59761947931768855</x:v>
      </x:c>
    </x:row>
    <x:row r="100">
      <x:c r="A100" s="2" t="s">
        <x:v>216</x:v>
      </x:c>
      <x:c r="B100" s="2" t="s">
        <x:v>216</x:v>
      </x:c>
      <x:c r="C100" s="6">
        <x:v>15</x:v>
      </x:c>
      <x:c r="D100" s="6">
        <x:v>1050</x:v>
      </x:c>
      <x:c r="E100" s="2" t="s">
        <x:v>475</x:v>
      </x:c>
      <x:c r="F100" s="7">
        <x:v>0.82788461538461533</x:v>
      </x:c>
      <x:c r="G100" s="7">
        <x:v>0.92368225390067304</x:v>
      </x:c>
      <x:c r="H100" s="7">
        <x:v>0.86021505376344087</x:v>
      </x:c>
      <x:c r="I100" s="7">
        <x:v>-1.357124210913675</x:v>
      </x:c>
      <x:c r="J100" s="7">
        <x:v>0.34811878443246019</x:v>
      </x:c>
      <x:c r="K100" s="7">
        <x:v>2.7718677268145971E-2</x:v>
      </x:c>
      <x:c r="L100" s="7">
        <x:v>0.32813398396270382</x:v>
      </x:c>
      <x:c r="M100" s="7">
        <x:v>3.8723133070278283E-2</x:v>
      </x:c>
    </x:row>
    <x:row r="101">
      <x:c r="A101" s="2" t="s">
        <x:v>216</x:v>
      </x:c>
      <x:c r="B101" s="2" t="s">
        <x:v>216</x:v>
      </x:c>
      <x:c r="C101" s="6">
        <x:v>15</x:v>
      </x:c>
      <x:c r="D101" s="6">
        <x:v>1051</x:v>
      </x:c>
      <x:c r="E101" s="2" t="s">
        <x:v>476</x:v>
      </x:c>
      <x:c r="F101" s="7">
        <x:v>0.92307692307692313</x:v>
      </x:c>
      <x:c r="G101" s="7">
        <x:v>0.97314298196621918</x:v>
      </x:c>
      <x:c r="H101" s="7">
        <x:v>0.92307692307692313</x:v>
      </x:c>
      <x:c r="I101" s="7">
        <x:v>-1.277658554971584</x:v>
      </x:c>
      <x:c r="J101" s="7">
        <x:v>-8.3712644131658631E-2</x:v>
      </x:c>
      <x:c r="K101" s="7">
        <x:v>0.6075599933007676</x:v>
      </x:c>
      <x:c r="L101" s="7">
        <x:v>0.1024040890627982</x:v>
      </x:c>
      <x:c r="M101" s="7">
        <x:v>0.52949345248106494</x:v>
      </x:c>
    </x:row>
    <x:row r="102">
      <x:c r="A102" s="2" t="s">
        <x:v>216</x:v>
      </x:c>
      <x:c r="B102" s="2" t="s">
        <x:v>216</x:v>
      </x:c>
      <x:c r="C102" s="6">
        <x:v>15</x:v>
      </x:c>
      <x:c r="D102" s="6">
        <x:v>1052</x:v>
      </x:c>
      <x:c r="E102" s="2" t="s">
        <x:v>477</x:v>
      </x:c>
      <x:c r="F102" s="7">
        <x:v>0.77692307692307694</x:v>
      </x:c>
      <x:c r="G102" s="7">
        <x:v>0.8986741455007129</x:v>
      </x:c>
      <x:c r="H102" s="7">
        <x:v>0.88888888888888884</x:v>
      </x:c>
      <x:c r="I102" s="7">
        <x:v>-1.298905361912071</x:v>
      </x:c>
      <x:c r="J102" s="7">
        <x:v>0.55666627155068693</x:v>
      </x:c>
      <x:c r="K102" s="7">
        <x:v>1.9124785673764889E-4</x:v>
      </x:c>
      <x:c r="L102" s="7">
        <x:v>0.49015248348753959</x:v>
      </x:c>
      <x:c r="M102" s="7">
        <x:v>1.3247274349070439E-3</x:v>
      </x:c>
    </x:row>
    <x:row r="103">
      <x:c r="A103" s="2" t="s">
        <x:v>216</x:v>
      </x:c>
      <x:c r="B103" s="2" t="s">
        <x:v>216</x:v>
      </x:c>
      <x:c r="C103" s="6">
        <x:v>15</x:v>
      </x:c>
      <x:c r="D103" s="6">
        <x:v>1053</x:v>
      </x:c>
      <x:c r="E103" s="2" t="s">
        <x:v>478</x:v>
      </x:c>
      <x:c r="F103" s="7">
        <x:v>0.85576923076923073</x:v>
      </x:c>
      <x:c r="G103" s="7">
        <x:v>0.92744742356519883</x:v>
      </x:c>
      <x:c r="H103" s="7">
        <x:v>0.89473684210526316</x:v>
      </x:c>
      <x:c r="I103" s="7">
        <x:v>-1.1811026432790801</x:v>
      </x:c>
      <x:c r="J103" s="7">
        <x:v>0.47272791182948848</x:v>
      </x:c>
      <x:c r="K103" s="7">
        <x:v>2.0681045739155079E-3</x:v>
      </x:c>
      <x:c r="L103" s="7">
        <x:v>0.36208041484096221</x:v>
      </x:c>
      <x:c r="M103" s="7">
        <x:v>2.1681585467174001E-2</x:v>
      </x:c>
    </x:row>
    <x:row r="104">
      <x:c r="A104" s="2" t="s">
        <x:v>216</x:v>
      </x:c>
      <x:c r="B104" s="2" t="s">
        <x:v>216</x:v>
      </x:c>
      <x:c r="C104" s="6">
        <x:v>15</x:v>
      </x:c>
      <x:c r="D104" s="6">
        <x:v>1054</x:v>
      </x:c>
      <x:c r="E104" s="2" t="s">
        <x:v>479</x:v>
      </x:c>
      <x:c r="F104" s="7">
        <x:v>0.70769230769230773</x:v>
      </x:c>
      <x:c r="G104" s="7">
        <x:v>0.87552008209098264</x:v>
      </x:c>
      <x:c r="H104" s="7">
        <x:v>0.86021505376344087</x:v>
      </x:c>
      <x:c r="I104" s="7">
        <x:v>-1.0567912904966961</x:v>
      </x:c>
      <x:c r="J104" s="7">
        <x:v>0.53788889658108285</x:v>
      </x:c>
      <x:c r="K104" s="7">
        <x:v>3.4408793175422621E-4</x:v>
      </x:c>
      <x:c r="L104" s="7">
        <x:v>0.43184433347670048</x:v>
      </x:c>
      <x:c r="M104" s="7">
        <x:v>5.394118729873271E-3</x:v>
      </x:c>
    </x:row>
    <x:row r="105">
      <x:c r="A105" s="2" t="s">
        <x:v>216</x:v>
      </x:c>
      <x:c r="B105" s="2" t="s">
        <x:v>216</x:v>
      </x:c>
      <x:c r="C105" s="6">
        <x:v>15</x:v>
      </x:c>
      <x:c r="D105" s="6">
        <x:v>1055</x:v>
      </x:c>
      <x:c r="E105" s="2" t="s">
        <x:v>480</x:v>
      </x:c>
      <x:c r="F105" s="7">
        <x:v>0.88461538461538458</x:v>
      </x:c>
      <x:c r="G105" s="7">
        <x:v>0.95468569164241868</x:v>
      </x:c>
      <x:c r="H105" s="7">
        <x:v>0.91139240506329111</x:v>
      </x:c>
      <x:c r="I105" s="7">
        <x:v>-1.181875606427401</x:v>
      </x:c>
      <x:c r="J105" s="7">
        <x:v>0.27946498360484501</x:v>
      </x:c>
      <x:c r="K105" s="7">
        <x:v>8.0736226244495654E-2</x:v>
      </x:c>
      <x:c r="L105" s="7">
        <x:v>0.2884835880221932</x:v>
      </x:c>
      <x:c r="M105" s="7">
        <x:v>7.1032074941864171E-2</x:v>
      </x:c>
    </x:row>
    <x:row r="106">
      <x:c r="A106" s="2" t="s">
        <x:v>216</x:v>
      </x:c>
      <x:c r="B106" s="2" t="s">
        <x:v>216</x:v>
      </x:c>
      <x:c r="C106" s="6">
        <x:v>15</x:v>
      </x:c>
      <x:c r="D106" s="6">
        <x:v>1056</x:v>
      </x:c>
      <x:c r="E106" s="2" t="s">
        <x:v>481</x:v>
      </x:c>
      <x:c r="F106" s="7">
        <x:v>0.79038461538461546</x:v>
      </x:c>
      <x:c r="G106" s="7">
        <x:v>0.91945334009692314</x:v>
      </x:c>
      <x:c r="H106" s="7">
        <x:v>0.86021505376344087</x:v>
      </x:c>
      <x:c r="I106" s="7">
        <x:v>-1.3576574676617621</x:v>
      </x:c>
      <x:c r="J106" s="7">
        <x:v>0.48024997241949502</x:v>
      </x:c>
      <x:c r="K106" s="7">
        <x:v>1.711202356516202E-3</x:v>
      </x:c>
      <x:c r="L106" s="7">
        <x:v>0.41873572138383242</x:v>
      </x:c>
      <x:c r="M106" s="7">
        <x:v>7.1632327590231684E-3</x:v>
      </x:c>
    </x:row>
    <x:row r="107">
      <x:c r="A107" s="2" t="s">
        <x:v>216</x:v>
      </x:c>
      <x:c r="B107" s="2" t="s">
        <x:v>216</x:v>
      </x:c>
      <x:c r="C107" s="6">
        <x:v>15</x:v>
      </x:c>
      <x:c r="D107" s="6">
        <x:v>1057</x:v>
      </x:c>
      <x:c r="E107" s="2" t="s">
        <x:v>482</x:v>
      </x:c>
      <x:c r="F107" s="7">
        <x:v>0.80576923076923079</x:v>
      </x:c>
      <x:c r="G107" s="7">
        <x:v>0.92497421039195005</x:v>
      </x:c>
      <x:c r="H107" s="7">
        <x:v>0.86021505376344087</x:v>
      </x:c>
      <x:c r="I107" s="7">
        <x:v>-0.96702881157400999</x:v>
      </x:c>
      <x:c r="J107" s="7">
        <x:v>0.68083782969522777</x:v>
      </x:c>
      <x:c r="K107" s="7">
        <x:v>1.335219547042225E-6</x:v>
      </x:c>
      <x:c r="L107" s="7">
        <x:v>0.4724019991122006</x:v>
      </x:c>
      <x:c r="M107" s="7">
        <x:v>2.0849491100154798E-3</x:v>
      </x:c>
    </x:row>
    <x:row r="108">
      <x:c r="A108" s="2" t="s">
        <x:v>216</x:v>
      </x:c>
      <x:c r="B108" s="2" t="s">
        <x:v>216</x:v>
      </x:c>
      <x:c r="C108" s="6">
        <x:v>15</x:v>
      </x:c>
      <x:c r="D108" s="6">
        <x:v>1058</x:v>
      </x:c>
      <x:c r="E108" s="2" t="s">
        <x:v>483</x:v>
      </x:c>
      <x:c r="F108" s="7">
        <x:v>0.86923076923076925</x:v>
      </x:c>
      <x:c r="G108" s="7">
        <x:v>0.94793941865216036</x:v>
      </x:c>
      <x:c r="H108" s="7">
        <x:v>0.86842105263157898</x:v>
      </x:c>
      <x:c r="I108" s="7">
        <x:v>-1.32885769316751</x:v>
      </x:c>
      <x:c r="J108" s="7">
        <x:v>0.43324239758816702</x:v>
      </x:c>
      <x:c r="K108" s="7">
        <x:v>5.2299686991371568E-3</x:v>
      </x:c>
      <x:c r="L108" s="7">
        <x:v>0.4037257329100099</x:v>
      </x:c>
      <x:c r="M108" s="7">
        <x:v>9.7824816932433473E-3</x:v>
      </x:c>
    </x:row>
    <x:row r="109">
      <x:c r="A109" s="2" t="s">
        <x:v>216</x:v>
      </x:c>
      <x:c r="B109" s="2" t="s">
        <x:v>216</x:v>
      </x:c>
      <x:c r="C109" s="6">
        <x:v>15</x:v>
      </x:c>
      <x:c r="D109" s="6">
        <x:v>1059</x:v>
      </x:c>
      <x:c r="E109" s="2" t="s">
        <x:v>484</x:v>
      </x:c>
      <x:c r="F109" s="7">
        <x:v>0.80865384615384606</x:v>
      </x:c>
      <x:c r="G109" s="7">
        <x:v>0.91476306306971755</x:v>
      </x:c>
      <x:c r="H109" s="7">
        <x:v>0.86021505376344087</x:v>
      </x:c>
      <x:c r="I109" s="7">
        <x:v>-1.429650810239995</x:v>
      </x:c>
      <x:c r="J109" s="7">
        <x:v>0.38019476998992258</x:v>
      </x:c>
      <x:c r="K109" s="7">
        <x:v>1.552194992527379E-2</x:v>
      </x:c>
      <x:c r="L109" s="7">
        <x:v>0.3548659017094955</x:v>
      </x:c>
      <x:c r="M109" s="7">
        <x:v>2.464726499490473E-2</x:v>
      </x:c>
    </x:row>
    <x:row r="110">
      <x:c r="A110" s="2" t="s">
        <x:v>216</x:v>
      </x:c>
      <x:c r="B110" s="2" t="s">
        <x:v>216</x:v>
      </x:c>
      <x:c r="C110" s="6">
        <x:v>15</x:v>
      </x:c>
      <x:c r="D110" s="6">
        <x:v>1060</x:v>
      </x:c>
      <x:c r="E110" s="2" t="s">
        <x:v>485</x:v>
      </x:c>
      <x:c r="F110" s="7">
        <x:v>0.90576923076923077</x:v>
      </x:c>
      <x:c r="G110" s="7">
        <x:v>0.95707547169811324</x:v>
      </x:c>
      <x:c r="H110" s="7">
        <x:v>0.90410958904109584</x:v>
      </x:c>
      <x:c r="I110" s="7">
        <x:v>-1.2118051762034541</x:v>
      </x:c>
      <x:c r="J110" s="7">
        <x:v>0.34480932214842708</x:v>
      </x:c>
      <x:c r="K110" s="7">
        <x:v>2.933719815674414E-2</x:v>
      </x:c>
      <x:c r="L110" s="7">
        <x:v>0.34369128981094399</x:v>
      </x:c>
      <x:c r="M110" s="7">
        <x:v>2.9901304500594299E-2</x:v>
      </x:c>
    </x:row>
    <x:row r="111">
      <x:c r="A111" s="2" t="s">
        <x:v>216</x:v>
      </x:c>
      <x:c r="B111" s="2" t="s">
        <x:v>216</x:v>
      </x:c>
      <x:c r="C111" s="6">
        <x:v>15</x:v>
      </x:c>
      <x:c r="D111" s="6">
        <x:v>1061</x:v>
      </x:c>
      <x:c r="E111" s="2" t="s">
        <x:v>486</x:v>
      </x:c>
      <x:c r="F111" s="7">
        <x:v>0.84903846153846152</x:v>
      </x:c>
      <x:c r="G111" s="7">
        <x:v>0.9439228145340991</x:v>
      </x:c>
      <x:c r="H111" s="7">
        <x:v>0.89156626506024095</x:v>
      </x:c>
      <x:c r="I111" s="7">
        <x:v>-1.1752417943330351</x:v>
      </x:c>
      <x:c r="J111" s="7">
        <x:v>0.18691940310858149</x:v>
      </x:c>
      <x:c r="K111" s="7">
        <x:v>0.24812772240476971</x:v>
      </x:c>
      <x:c r="L111" s="7">
        <x:v>0.1646457797925982</x:v>
      </x:c>
      <x:c r="M111" s="7">
        <x:v>0.30999091146751789</x:v>
      </x:c>
    </x:row>
    <x:row r="112">
      <x:c r="A112" s="2" t="s">
        <x:v>216</x:v>
      </x:c>
      <x:c r="B112" s="2" t="s">
        <x:v>216</x:v>
      </x:c>
      <x:c r="C112" s="6">
        <x:v>15</x:v>
      </x:c>
      <x:c r="D112" s="6">
        <x:v>1062</x:v>
      </x:c>
      <x:c r="E112" s="2" t="s">
        <x:v>487</x:v>
      </x:c>
      <x:c r="F112" s="7">
        <x:v>0.83076923076923082</x:v>
      </x:c>
      <x:c r="G112" s="7">
        <x:v>0.91758583374330593</x:v>
      </x:c>
      <x:c r="H112" s="7">
        <x:v>0.88311688311688308</x:v>
      </x:c>
      <x:c r="I112" s="7">
        <x:v>-1.019000531973578</x:v>
      </x:c>
      <x:c r="J112" s="7">
        <x:v>0.36205652240957248</x:v>
      </x:c>
      <x:c r="K112" s="7">
        <x:v>2.1690891176514529E-2</x:v>
      </x:c>
      <x:c r="L112" s="7">
        <x:v>0.30057794734647009</x:v>
      </x:c>
      <x:c r="M112" s="7">
        <x:v>5.9486420200327322E-2</x:v>
      </x:c>
    </x:row>
    <x:row r="113">
      <x:c r="A113" s="2" t="s">
        <x:v>216</x:v>
      </x:c>
      <x:c r="B113" s="2" t="s">
        <x:v>216</x:v>
      </x:c>
      <x:c r="C113" s="6">
        <x:v>15</x:v>
      </x:c>
      <x:c r="D113" s="6">
        <x:v>1063</x:v>
      </x:c>
      <x:c r="E113" s="2" t="s">
        <x:v>488</x:v>
      </x:c>
      <x:c r="F113" s="7">
        <x:v>0.76826923076923082</x:v>
      </x:c>
      <x:c r="G113" s="7">
        <x:v>0.90978938272151866</x:v>
      </x:c>
      <x:c r="H113" s="7">
        <x:v>0.86021505376344087</x:v>
      </x:c>
      <x:c r="I113" s="7">
        <x:v>-1.3510816444344089</x:v>
      </x:c>
      <x:c r="J113" s="7">
        <x:v>0.36261180540608312</x:v>
      </x:c>
      <x:c r="K113" s="7">
        <x:v>2.1475477797205721E-2</x:v>
      </x:c>
      <x:c r="L113" s="7">
        <x:v>0.28253321332929943</x:v>
      </x:c>
      <x:c r="M113" s="7">
        <x:v>7.7325206183384704E-2</x:v>
      </x:c>
    </x:row>
    <x:row r="114">
      <x:c r="A114" s="2" t="s">
        <x:v>216</x:v>
      </x:c>
      <x:c r="B114" s="2" t="s">
        <x:v>216</x:v>
      </x:c>
      <x:c r="C114" s="6">
        <x:v>15</x:v>
      </x:c>
      <x:c r="D114" s="6">
        <x:v>1064</x:v>
      </x:c>
      <x:c r="E114" s="2" t="s">
        <x:v>489</x:v>
      </x:c>
      <x:c r="F114" s="7">
        <x:v>0.8634615384615385</x:v>
      </x:c>
      <x:c r="G114" s="7">
        <x:v>0.94349521187568797</x:v>
      </x:c>
      <x:c r="H114" s="7">
        <x:v>0.89473684210526316</x:v>
      </x:c>
      <x:c r="I114" s="7">
        <x:v>-1.269293176018466</x:v>
      </x:c>
      <x:c r="J114" s="7">
        <x:v>0.45376873779284338</x:v>
      </x:c>
      <x:c r="K114" s="7">
        <x:v>3.2728804487007599E-3</x:v>
      </x:c>
      <x:c r="L114" s="7">
        <x:v>0.46680953490122029</x:v>
      </x:c>
      <x:c r="M114" s="7">
        <x:v>2.393407785082425E-3</x:v>
      </x:c>
    </x:row>
    <x:row r="115">
      <x:c r="A115" s="2" t="s">
        <x:v>216</x:v>
      </x:c>
      <x:c r="B115" s="2" t="s">
        <x:v>216</x:v>
      </x:c>
      <x:c r="C115" s="6">
        <x:v>15</x:v>
      </x:c>
      <x:c r="D115" s="6">
        <x:v>1065</x:v>
      </x:c>
      <x:c r="E115" s="2" t="s">
        <x:v>490</x:v>
      </x:c>
      <x:c r="F115" s="7">
        <x:v>0.96250000000000002</x:v>
      </x:c>
      <x:c r="G115" s="7">
        <x:v>0.9816037735849058</x:v>
      </x:c>
      <x:c r="H115" s="7">
        <x:v>0.96103896103896103</x:v>
      </x:c>
      <x:c r="I115" s="7">
        <x:v>-1.204828426784329</x:v>
      </x:c>
      <x:c r="J115" s="7">
        <x:v>0.32465400846308129</x:v>
      </x:c>
      <x:c r="K115" s="7">
        <x:v>4.0961808237206798E-2</x:v>
      </x:c>
      <x:c r="L115" s="7">
        <x:v>0.19608238569413161</x:v>
      </x:c>
      <x:c r="M115" s="7">
        <x:v>0.2252738892813668</x:v>
      </x:c>
    </x:row>
    <x:row r="116">
      <x:c r="A116" s="2" t="s">
        <x:v>216</x:v>
      </x:c>
      <x:c r="B116" s="2" t="s">
        <x:v>216</x:v>
      </x:c>
      <x:c r="C116" s="6">
        <x:v>15</x:v>
      </x:c>
      <x:c r="D116" s="6">
        <x:v>1066</x:v>
      </x:c>
      <x:c r="E116" s="2" t="s">
        <x:v>491</x:v>
      </x:c>
      <x:c r="F116" s="7">
        <x:v>0.91346153846153821</x:v>
      </x:c>
      <x:c r="G116" s="7">
        <x:v>0.96485973259368762</x:v>
      </x:c>
      <x:c r="H116" s="7">
        <x:v>0.93506493506493504</x:v>
      </x:c>
      <x:c r="I116" s="7">
        <x:v>-1.222885236047629</x:v>
      </x:c>
      <x:c r="J116" s="7">
        <x:v>0.46665734313775342</x:v>
      </x:c>
      <x:c r="K116" s="7">
        <x:v>2.402334385815785E-3</x:v>
      </x:c>
      <x:c r="L116" s="7">
        <x:v>0.33164606532516289</x:v>
      </x:c>
      <x:c r="M116" s="7">
        <x:v>3.6565981898968619E-2</x:v>
      </x:c>
    </x:row>
    <x:row r="117">
      <x:c r="A117" s="2" t="s">
        <x:v>216</x:v>
      </x:c>
      <x:c r="B117" s="2" t="s">
        <x:v>216</x:v>
      </x:c>
      <x:c r="C117" s="6">
        <x:v>15</x:v>
      </x:c>
      <x:c r="D117" s="6">
        <x:v>1067</x:v>
      </x:c>
      <x:c r="E117" s="2" t="s">
        <x:v>492</x:v>
      </x:c>
      <x:c r="F117" s="7">
        <x:v>0.81634615384615383</x:v>
      </x:c>
      <x:c r="G117" s="7">
        <x:v>0.92905654894538503</x:v>
      </x:c>
      <x:c r="H117" s="7">
        <x:v>0.86021505376344087</x:v>
      </x:c>
      <x:c r="I117" s="7">
        <x:v>-1.274815597467621</x:v>
      </x:c>
      <x:c r="J117" s="7">
        <x:v>0.44887511553648929</x:v>
      </x:c>
      <x:c r="K117" s="7">
        <x:v>3.6693599243458989E-3</x:v>
      </x:c>
      <x:c r="L117" s="7">
        <x:v>0.43616107551639899</x:v>
      </x:c>
      <x:c r="M117" s="7">
        <x:v>4.9011810631119047E-3</x:v>
      </x:c>
    </x:row>
    <x:row r="118">
      <x:c r="A118" s="2" t="s">
        <x:v>216</x:v>
      </x:c>
      <x:c r="B118" s="2" t="s">
        <x:v>216</x:v>
      </x:c>
      <x:c r="C118" s="6">
        <x:v>15</x:v>
      </x:c>
      <x:c r="D118" s="6">
        <x:v>1068</x:v>
      </x:c>
      <x:c r="E118" s="2" t="s">
        <x:v>493</x:v>
      </x:c>
      <x:c r="F118" s="7">
        <x:v>0.89807692307692311</x:v>
      </x:c>
      <x:c r="G118" s="7">
        <x:v>0.9612233573950465</x:v>
      </x:c>
      <x:c r="H118" s="7">
        <x:v>0.89743589743589747</x:v>
      </x:c>
      <x:c r="I118" s="7">
        <x:v>-1.1394797721719621</x:v>
      </x:c>
      <x:c r="J118" s="7">
        <x:v>0.44819027371872772</x:v>
      </x:c>
      <x:c r="K118" s="7">
        <x:v>3.728059294877629E-3</x:v>
      </x:c>
      <x:c r="L118" s="7">
        <x:v>0.4189693147821183</x:v>
      </x:c>
      <x:c r="M118" s="7">
        <x:v>7.1277954362777042E-3</x:v>
      </x:c>
    </x:row>
    <x:row r="119">
      <x:c r="A119" s="2" t="s">
        <x:v>216</x:v>
      </x:c>
      <x:c r="B119" s="2" t="s">
        <x:v>216</x:v>
      </x:c>
      <x:c r="C119" s="6">
        <x:v>15</x:v>
      </x:c>
      <x:c r="D119" s="6">
        <x:v>1069</x:v>
      </x:c>
      <x:c r="E119" s="2" t="s">
        <x:v>494</x:v>
      </x:c>
      <x:c r="F119" s="7">
        <x:v>0.77692307692307694</x:v>
      </x:c>
      <x:c r="G119" s="7">
        <x:v>0.8997933580480032</x:v>
      </x:c>
      <x:c r="H119" s="7">
        <x:v>0.86021505376344087</x:v>
      </x:c>
      <x:c r="I119" s="7">
        <x:v>-1.131601419746967</x:v>
      </x:c>
      <x:c r="J119" s="7">
        <x:v>0.59309466826135704</x:v>
      </x:c>
      <x:c r="K119" s="7">
        <x:v>5.5061276376057877E-5</x:v>
      </x:c>
      <x:c r="L119" s="7">
        <x:v>0.4966775837834414</x:v>
      </x:c>
      <x:c r="M119" s="7">
        <x:v>1.1143896840980049E-3</x:v>
      </x:c>
    </x:row>
    <x:row r="120">
      <x:c r="A120" s="2" t="s">
        <x:v>216</x:v>
      </x:c>
      <x:c r="B120" s="2" t="s">
        <x:v>216</x:v>
      </x:c>
      <x:c r="C120" s="6">
        <x:v>15</x:v>
      </x:c>
      <x:c r="D120" s="6">
        <x:v>1070</x:v>
      </x:c>
      <x:c r="E120" s="2" t="s">
        <x:v>495</x:v>
      </x:c>
      <x:c r="F120" s="7">
        <x:v>0.78557692307692317</x:v>
      </x:c>
      <x:c r="G120" s="7">
        <x:v>0.90069753482011494</x:v>
      </x:c>
      <x:c r="H120" s="7">
        <x:v>0.86021505376344087</x:v>
      </x:c>
      <x:c r="I120" s="7">
        <x:v>-1.1280247134781849</x:v>
      </x:c>
      <x:c r="J120" s="7">
        <x:v>0.38106336781326727</x:v>
      </x:c>
      <x:c r="K120" s="7">
        <x:v>1.526826337887457E-2</x:v>
      </x:c>
      <x:c r="L120" s="7">
        <x:v>0.27090136846496798</x:v>
      </x:c>
      <x:c r="M120" s="7">
        <x:v>9.0878597823360163E-2</x:v>
      </x:c>
    </x:row>
    <x:row r="121">
      <x:c r="A121" s="2" t="s">
        <x:v>216</x:v>
      </x:c>
      <x:c r="B121" s="2" t="s">
        <x:v>216</x:v>
      </x:c>
      <x:c r="C121" s="6">
        <x:v>15</x:v>
      </x:c>
      <x:c r="D121" s="6">
        <x:v>1071</x:v>
      </x:c>
      <x:c r="E121" s="2" t="s">
        <x:v>496</x:v>
      </x:c>
      <x:c r="F121" s="7">
        <x:v>0.85673076923076918</x:v>
      </x:c>
      <x:c r="G121" s="7">
        <x:v>0.9179641285814264</x:v>
      </x:c>
      <x:c r="H121" s="7">
        <x:v>0.90909090909090906</x:v>
      </x:c>
      <x:c r="I121" s="7">
        <x:v>-1.0439419918052799</x:v>
      </x:c>
      <x:c r="J121" s="7">
        <x:v>0.53958146920055627</x:v>
      </x:c>
      <x:c r="K121" s="7">
        <x:v>3.2680521229511568E-4</x:v>
      </x:c>
      <x:c r="L121" s="7">
        <x:v>0.42426803799881208</x:v>
      </x:c>
      <x:c r="M121" s="7">
        <x:v>6.3635368485988487E-3</x:v>
      </x:c>
    </x:row>
    <x:row r="122">
      <x:c r="A122" s="2" t="s">
        <x:v>216</x:v>
      </x:c>
      <x:c r="B122" s="2" t="s">
        <x:v>216</x:v>
      </x:c>
      <x:c r="C122" s="6">
        <x:v>17</x:v>
      </x:c>
      <x:c r="D122" s="6">
        <x:v>1042</x:v>
      </x:c>
      <x:c r="E122" s="2" t="s">
        <x:v>497</x:v>
      </x:c>
      <x:c r="F122" s="7">
        <x:v>0.79230769230769238</x:v>
      </x:c>
      <x:c r="G122" s="7">
        <x:v>0.92225133015524419</x:v>
      </x:c>
      <x:c r="H122" s="7">
        <x:v>0.86021505376344087</x:v>
      </x:c>
      <x:c r="I122" s="7">
        <x:v>-1.192201073108504</x:v>
      </x:c>
      <x:c r="J122" s="7">
        <x:v>0.29604247846858001</x:v>
      </x:c>
      <x:c r="K122" s="7">
        <x:v>6.3626956931887704E-2</x:v>
      </x:c>
      <x:c r="L122" s="7">
        <x:v>0.36406463990971838</x:v>
      </x:c>
      <x:c r="M122" s="7">
        <x:v>2.0920314523579168E-2</x:v>
      </x:c>
    </x:row>
    <x:row r="123">
      <x:c r="A123" s="2" t="s">
        <x:v>216</x:v>
      </x:c>
      <x:c r="B123" s="2" t="s">
        <x:v>216</x:v>
      </x:c>
      <x:c r="C123" s="6">
        <x:v>17</x:v>
      </x:c>
      <x:c r="D123" s="6">
        <x:v>1043</x:v>
      </x:c>
      <x:c r="E123" s="2" t="s">
        <x:v>498</x:v>
      </x:c>
      <x:c r="F123" s="7">
        <x:v>0.88653846153846161</x:v>
      </x:c>
      <x:c r="G123" s="7">
        <x:v>0.95425074448091052</x:v>
      </x:c>
      <x:c r="H123" s="7">
        <x:v>0.88311688311688308</x:v>
      </x:c>
      <x:c r="I123" s="7">
        <x:v>-1.448022714998709</x:v>
      </x:c>
      <x:c r="J123" s="7">
        <x:v>0.24227084950370731</x:v>
      </x:c>
      <x:c r="K123" s="7">
        <x:v>0.1320137420502705</x:v>
      </x:c>
      <x:c r="L123" s="7">
        <x:v>0.34062315420899669</x:v>
      </x:c>
      <x:c r="M123" s="7">
        <x:v>3.149546841225799E-2</x:v>
      </x:c>
    </x:row>
    <x:row r="124">
      <x:c r="A124" s="2" t="s">
        <x:v>216</x:v>
      </x:c>
      <x:c r="B124" s="2" t="s">
        <x:v>216</x:v>
      </x:c>
      <x:c r="C124" s="6">
        <x:v>17</x:v>
      </x:c>
      <x:c r="D124" s="6">
        <x:v>1044</x:v>
      </x:c>
      <x:c r="E124" s="2" t="s">
        <x:v>499</x:v>
      </x:c>
      <x:c r="F124" s="7">
        <x:v>0.85096153846153844</x:v>
      </x:c>
      <x:c r="G124" s="7">
        <x:v>0.93986285776283574</x:v>
      </x:c>
      <x:c r="H124" s="7">
        <x:v>0.86842105263157898</x:v>
      </x:c>
      <x:c r="I124" s="7">
        <x:v>-1.083728040786891</x:v>
      </x:c>
      <x:c r="J124" s="7">
        <x:v>0.41236097938048732</x:v>
      </x:c>
      <x:c r="K124" s="7">
        <x:v>8.1906621450045861E-3</x:v>
      </x:c>
      <x:c r="L124" s="7">
        <x:v>0.37312345614894271</x:v>
      </x:c>
      <x:c r="M124" s="7">
        <x:v>1.7722782450938401E-2</x:v>
      </x:c>
    </x:row>
    <x:row r="125">
      <x:c r="A125" s="2" t="s">
        <x:v>216</x:v>
      </x:c>
      <x:c r="B125" s="2" t="s">
        <x:v>216</x:v>
      </x:c>
      <x:c r="C125" s="6">
        <x:v>17</x:v>
      </x:c>
      <x:c r="D125" s="6">
        <x:v>1045</x:v>
      </x:c>
      <x:c r="E125" s="2" t="s">
        <x:v>500</x:v>
      </x:c>
      <x:c r="F125" s="7">
        <x:v>0.76346153846153841</x:v>
      </x:c>
      <x:c r="G125" s="7">
        <x:v>0.90316992810360675</x:v>
      </x:c>
      <x:c r="H125" s="7">
        <x:v>0.86021505376344087</x:v>
      </x:c>
      <x:c r="I125" s="7">
        <x:v>-1.2319107194150529</x:v>
      </x:c>
      <x:c r="J125" s="7">
        <x:v>0.28418606385675999</x:v>
      </x:c>
      <x:c r="K125" s="7">
        <x:v>7.5534988210937001E-2</x:v>
      </x:c>
      <x:c r="L125" s="7">
        <x:v>0.21133523451382599</x:v>
      </x:c>
      <x:c r="M125" s="7">
        <x:v>0.1905138050095789</x:v>
      </x:c>
    </x:row>
    <x:row r="126">
      <x:c r="A126" s="2" t="s">
        <x:v>216</x:v>
      </x:c>
      <x:c r="B126" s="2" t="s">
        <x:v>216</x:v>
      </x:c>
      <x:c r="C126" s="6">
        <x:v>17</x:v>
      </x:c>
      <x:c r="D126" s="6">
        <x:v>1046</x:v>
      </x:c>
      <x:c r="E126" s="2" t="s">
        <x:v>501</x:v>
      </x:c>
      <x:c r="F126" s="7">
        <x:v>0.90384615384615397</x:v>
      </x:c>
      <x:c r="G126" s="7">
        <x:v>0.95682443052569199</x:v>
      </x:c>
      <x:c r="H126" s="7">
        <x:v>0.90666666666666662</x:v>
      </x:c>
      <x:c r="I126" s="7">
        <x:v>-1.3886143232468171</x:v>
      </x:c>
      <x:c r="J126" s="7">
        <x:v>0.39191972177316559</x:v>
      </x:c>
      <x:c r="K126" s="7">
        <x:v>1.238165804846475E-2</x:v>
      </x:c>
      <x:c r="L126" s="7">
        <x:v>0.34331388984657912</x:v>
      </x:c>
      <x:c r="M126" s="7">
        <x:v>3.009373090682204E-2</x:v>
      </x:c>
    </x:row>
    <x:row r="127">
      <x:c r="A127" s="2" t="s">
        <x:v>216</x:v>
      </x:c>
      <x:c r="B127" s="2" t="s">
        <x:v>216</x:v>
      </x:c>
      <x:c r="C127" s="6">
        <x:v>17</x:v>
      </x:c>
      <x:c r="D127" s="6">
        <x:v>1047</x:v>
      </x:c>
      <x:c r="E127" s="2" t="s">
        <x:v>502</x:v>
      </x:c>
      <x:c r="F127" s="7">
        <x:v>0.74903846153846165</x:v>
      </x:c>
      <x:c r="G127" s="7">
        <x:v>0.88782218602812313</x:v>
      </x:c>
      <x:c r="H127" s="7">
        <x:v>0.86021505376344087</x:v>
      </x:c>
      <x:c r="I127" s="7">
        <x:v>-1.071269628068829</x:v>
      </x:c>
      <x:c r="J127" s="7">
        <x:v>0.30531669106688242</x:v>
      </x:c>
      <x:c r="K127" s="7">
        <x:v>5.5392478139817528E-2</x:v>
      </x:c>
      <x:c r="L127" s="7">
        <x:v>0.26732247065828241</x:v>
      </x:c>
      <x:c r="M127" s="7">
        <x:v>9.5397715100314279E-2</x:v>
      </x:c>
    </x:row>
    <x:row r="128">
      <x:c r="A128" s="2" t="s">
        <x:v>216</x:v>
      </x:c>
      <x:c r="B128" s="2" t="s">
        <x:v>216</x:v>
      </x:c>
      <x:c r="C128" s="6">
        <x:v>17</x:v>
      </x:c>
      <x:c r="D128" s="6">
        <x:v>1048</x:v>
      </x:c>
      <x:c r="E128" s="2" t="s">
        <x:v>503</x:v>
      </x:c>
      <x:c r="F128" s="7">
        <x:v>0.84615384615384626</x:v>
      </x:c>
      <x:c r="G128" s="7">
        <x:v>0.9299589103696132</x:v>
      </x:c>
      <x:c r="H128" s="7">
        <x:v>0.86021505376344087</x:v>
      </x:c>
      <x:c r="I128" s="7">
        <x:v>-1.4095921158355471</x:v>
      </x:c>
      <x:c r="J128" s="7">
        <x:v>0.47976469532465982</x:v>
      </x:c>
      <x:c r="K128" s="7">
        <x:v>1.7324673942828439E-3</x:v>
      </x:c>
      <x:c r="L128" s="7">
        <x:v>0.50386261789466347</x:v>
      </x:c>
      <x:c r="M128" s="7">
        <x:v>9.1753122447698547E-4</x:v>
      </x:c>
    </x:row>
    <x:row r="129">
      <x:c r="A129" s="2" t="s">
        <x:v>216</x:v>
      </x:c>
      <x:c r="B129" s="2" t="s">
        <x:v>216</x:v>
      </x:c>
      <x:c r="C129" s="6">
        <x:v>17</x:v>
      </x:c>
      <x:c r="D129" s="6">
        <x:v>1049</x:v>
      </x:c>
      <x:c r="E129" s="2" t="s">
        <x:v>504</x:v>
      </x:c>
      <x:c r="F129" s="7">
        <x:v>0.81826923076923075</x:v>
      </x:c>
      <x:c r="G129" s="7">
        <x:v>0.92495418013737107</x:v>
      </x:c>
      <x:c r="H129" s="7">
        <x:v>0.86021505376344087</x:v>
      </x:c>
      <x:c r="I129" s="7">
        <x:v>-1.0504773852887339</x:v>
      </x:c>
      <x:c r="J129" s="7">
        <x:v>0.26454508959005729</x:v>
      </x:c>
      <x:c r="K129" s="7">
        <x:v>9.9022240497380037E-2</x:v>
      </x:c>
      <x:c r="L129" s="7">
        <x:v>0.1235005118275965</x:v>
      </x:c>
      <x:c r="M129" s="7">
        <x:v>0.44771429462330742</x:v>
      </x:c>
    </x:row>
    <x:row r="130">
      <x:c r="A130" s="2" t="s">
        <x:v>216</x:v>
      </x:c>
      <x:c r="B130" s="2" t="s">
        <x:v>216</x:v>
      </x:c>
      <x:c r="C130" s="6">
        <x:v>17</x:v>
      </x:c>
      <x:c r="D130" s="6">
        <x:v>1050</x:v>
      </x:c>
      <x:c r="E130" s="2" t="s">
        <x:v>505</x:v>
      </x:c>
      <x:c r="F130" s="7">
        <x:v>0.82788461538461533</x:v>
      </x:c>
      <x:c r="G130" s="7">
        <x:v>0.92368225390067304</x:v>
      </x:c>
      <x:c r="H130" s="7">
        <x:v>0.86021505376344087</x:v>
      </x:c>
      <x:c r="I130" s="7">
        <x:v>-1.3542754682190401</x:v>
      </x:c>
      <x:c r="J130" s="7">
        <x:v>0.34943956030835571</x:v>
      </x:c>
      <x:c r="K130" s="7">
        <x:v>2.7093715705184322E-2</x:v>
      </x:c>
      <x:c r="L130" s="7">
        <x:v>0.32762892609495242</x:v>
      </x:c>
      <x:c r="M130" s="7">
        <x:v>3.9041706845138288E-2</x:v>
      </x:c>
    </x:row>
    <x:row r="131">
      <x:c r="A131" s="2" t="s">
        <x:v>216</x:v>
      </x:c>
      <x:c r="B131" s="2" t="s">
        <x:v>216</x:v>
      </x:c>
      <x:c r="C131" s="6">
        <x:v>17</x:v>
      </x:c>
      <x:c r="D131" s="6">
        <x:v>1051</x:v>
      </x:c>
      <x:c r="E131" s="2" t="s">
        <x:v>506</x:v>
      </x:c>
      <x:c r="F131" s="7">
        <x:v>0.95192307692307698</x:v>
      </x:c>
      <x:c r="G131" s="7">
        <x:v>0.98336203811486089</x:v>
      </x:c>
      <x:c r="H131" s="7">
        <x:v>0.95</x:v>
      </x:c>
      <x:c r="I131" s="7">
        <x:v>-1.294487874515869</x:v>
      </x:c>
      <x:c r="J131" s="7">
        <x:v>2.861297437361356E-2</x:v>
      </x:c>
      <x:c r="K131" s="7">
        <x:v>0.86087399520325081</x:v>
      </x:c>
      <x:c r="L131" s="7">
        <x:v>0.1430140634465964</x:v>
      </x:c>
      <x:c r="M131" s="7">
        <x:v>0.37866632228239638</x:v>
      </x:c>
    </x:row>
    <x:row r="132">
      <x:c r="A132" s="2" t="s">
        <x:v>216</x:v>
      </x:c>
      <x:c r="B132" s="2" t="s">
        <x:v>216</x:v>
      </x:c>
      <x:c r="C132" s="6">
        <x:v>17</x:v>
      </x:c>
      <x:c r="D132" s="6">
        <x:v>1052</x:v>
      </x:c>
      <x:c r="E132" s="2" t="s">
        <x:v>507</x:v>
      </x:c>
      <x:c r="F132" s="7">
        <x:v>0.84423076923076923</x:v>
      </x:c>
      <x:c r="G132" s="7">
        <x:v>0.93969075273346414</x:v>
      </x:c>
      <x:c r="H132" s="7">
        <x:v>0.9</x:v>
      </x:c>
      <x:c r="I132" s="7">
        <x:v>-1.223407926486066</x:v>
      </x:c>
      <x:c r="J132" s="7">
        <x:v>0.56530112182596315</x:v>
      </x:c>
      <x:c r="K132" s="7">
        <x:v>1.442490321492004E-4</x:v>
      </x:c>
      <x:c r="L132" s="7">
        <x:v>0.52848431179532351</x:v>
      </x:c>
      <x:c r="M132" s="7">
        <x:v>4.5593133248670339E-4</x:v>
      </x:c>
    </x:row>
    <x:row r="133">
      <x:c r="A133" s="2" t="s">
        <x:v>216</x:v>
      </x:c>
      <x:c r="B133" s="2" t="s">
        <x:v>216</x:v>
      </x:c>
      <x:c r="C133" s="6">
        <x:v>17</x:v>
      </x:c>
      <x:c r="D133" s="6">
        <x:v>1053</x:v>
      </x:c>
      <x:c r="E133" s="2" t="s">
        <x:v>508</x:v>
      </x:c>
      <x:c r="F133" s="7">
        <x:v>0.81730769230769229</x:v>
      </x:c>
      <x:c r="G133" s="7">
        <x:v>0.91309800296668397</x:v>
      </x:c>
      <x:c r="H133" s="7">
        <x:v>0.88311688311688308</x:v>
      </x:c>
      <x:c r="I133" s="7">
        <x:v>-1.1955442352601351</x:v>
      </x:c>
      <x:c r="J133" s="7">
        <x:v>0.48675130705465502</x:v>
      </x:c>
      <x:c r="K133" s="7">
        <x:v>1.4477211124237319E-3</x:v>
      </x:c>
      <x:c r="L133" s="7">
        <x:v>0.3673964949132289</x:v>
      </x:c>
      <x:c r="M133" s="7">
        <x:v>1.9692323556145919E-2</x:v>
      </x:c>
    </x:row>
    <x:row r="134">
      <x:c r="A134" s="2" t="s">
        <x:v>216</x:v>
      </x:c>
      <x:c r="B134" s="2" t="s">
        <x:v>216</x:v>
      </x:c>
      <x:c r="C134" s="6">
        <x:v>17</x:v>
      </x:c>
      <x:c r="D134" s="6">
        <x:v>1054</x:v>
      </x:c>
      <x:c r="E134" s="2" t="s">
        <x:v>509</x:v>
      </x:c>
      <x:c r="F134" s="7">
        <x:v>0.70576923076923082</x:v>
      </x:c>
      <x:c r="G134" s="7">
        <x:v>0.87444865351955403</x:v>
      </x:c>
      <x:c r="H134" s="7">
        <x:v>0.86021505376344087</x:v>
      </x:c>
      <x:c r="I134" s="7">
        <x:v>-1.0578325724102089</x:v>
      </x:c>
      <x:c r="J134" s="7">
        <x:v>0.53730718544563105</x:v>
      </x:c>
      <x:c r="K134" s="7">
        <x:v>3.5021441179791771E-4</x:v>
      </x:c>
      <x:c r="L134" s="7">
        <x:v>0.43484031121432781</x:v>
      </x:c>
      <x:c r="M134" s="7">
        <x:v>5.0476726952749856E-3</x:v>
      </x:c>
    </x:row>
    <x:row r="135">
      <x:c r="A135" s="2" t="s">
        <x:v>216</x:v>
      </x:c>
      <x:c r="B135" s="2" t="s">
        <x:v>216</x:v>
      </x:c>
      <x:c r="C135" s="6">
        <x:v>17</x:v>
      </x:c>
      <x:c r="D135" s="6">
        <x:v>1055</x:v>
      </x:c>
      <x:c r="E135" s="2" t="s">
        <x:v>510</x:v>
      </x:c>
      <x:c r="F135" s="7">
        <x:v>0.89807692307692299</x:v>
      </x:c>
      <x:c r="G135" s="7">
        <x:v>0.95991762572630779</x:v>
      </x:c>
      <x:c r="H135" s="7">
        <x:v>0.9135802469135802</x:v>
      </x:c>
      <x:c r="I135" s="7">
        <x:v>-1.205642974791814</x:v>
      </x:c>
      <x:c r="J135" s="7">
        <x:v>0.15687746570073599</x:v>
      </x:c>
      <x:c r="K135" s="7">
        <x:v>0.33368328568471167</x:v>
      </x:c>
      <x:c r="L135" s="7">
        <x:v>0.23873510135814119</x:v>
      </x:c>
      <x:c r="M135" s="7">
        <x:v>0.13792521460148779</x:v>
      </x:c>
    </x:row>
    <x:row r="136">
      <x:c r="A136" s="2" t="s">
        <x:v>216</x:v>
      </x:c>
      <x:c r="B136" s="2" t="s">
        <x:v>216</x:v>
      </x:c>
      <x:c r="C136" s="6">
        <x:v>17</x:v>
      </x:c>
      <x:c r="D136" s="6">
        <x:v>1056</x:v>
      </x:c>
      <x:c r="E136" s="2" t="s">
        <x:v>511</x:v>
      </x:c>
      <x:c r="F136" s="7">
        <x:v>0.80480769230769245</x:v>
      </x:c>
      <x:c r="G136" s="7">
        <x:v>0.92294535800838828</x:v>
      </x:c>
      <x:c r="H136" s="7">
        <x:v>0.86075949367088611</x:v>
      </x:c>
      <x:c r="I136" s="7">
        <x:v>-1.191473381426809</x:v>
      </x:c>
      <x:c r="J136" s="7">
        <x:v>0.55525356629072509</x:v>
      </x:c>
      <x:c r="K136" s="7">
        <x:v>2.0013216683802021E-4</x:v>
      </x:c>
      <x:c r="L136" s="7">
        <x:v>0.41539013224607962</x:v>
      </x:c>
      <x:c r="M136" s="7">
        <x:v>7.6876736908086801E-3</x:v>
      </x:c>
    </x:row>
    <x:row r="137">
      <x:c r="A137" s="2" t="s">
        <x:v>216</x:v>
      </x:c>
      <x:c r="B137" s="2" t="s">
        <x:v>216</x:v>
      </x:c>
      <x:c r="C137" s="6">
        <x:v>17</x:v>
      </x:c>
      <x:c r="D137" s="6">
        <x:v>1057</x:v>
      </x:c>
      <x:c r="E137" s="2" t="s">
        <x:v>512</x:v>
      </x:c>
      <x:c r="F137" s="7">
        <x:v>0.80576923076923079</x:v>
      </x:c>
      <x:c r="G137" s="7">
        <x:v>0.92497421039195005</x:v>
      </x:c>
      <x:c r="H137" s="7">
        <x:v>0.86021505376344087</x:v>
      </x:c>
      <x:c r="I137" s="7">
        <x:v>-1.0310241183945561</x:v>
      </x:c>
      <x:c r="J137" s="7">
        <x:v>0.67043758510885432</x:v>
      </x:c>
      <x:c r="K137" s="7">
        <x:v>2.2129694381819581E-6</x:v>
      </x:c>
      <x:c r="L137" s="7">
        <x:v>0.49056873231664377</x:v>
      </x:c>
      <x:c r="M137" s="7">
        <x:v>1.310329248153729E-3</x:v>
      </x:c>
    </x:row>
    <x:row r="138">
      <x:c r="A138" s="2" t="s">
        <x:v>216</x:v>
      </x:c>
      <x:c r="B138" s="2" t="s">
        <x:v>216</x:v>
      </x:c>
      <x:c r="C138" s="6">
        <x:v>17</x:v>
      </x:c>
      <x:c r="D138" s="6">
        <x:v>1058</x:v>
      </x:c>
      <x:c r="E138" s="2" t="s">
        <x:v>513</x:v>
      </x:c>
      <x:c r="F138" s="7">
        <x:v>0.86538461538461542</x:v>
      </x:c>
      <x:c r="G138" s="7">
        <x:v>0.94638228569796856</x:v>
      </x:c>
      <x:c r="H138" s="7">
        <x:v>0.86842105263157898</x:v>
      </x:c>
      <x:c r="I138" s="7">
        <x:v>-1.2950137479135091</x:v>
      </x:c>
      <x:c r="J138" s="7">
        <x:v>0.39684100638829278</x:v>
      </x:c>
      <x:c r="K138" s="7">
        <x:v>1.123452580913952E-2</x:v>
      </x:c>
      <x:c r="L138" s="7">
        <x:v>0.39253891962034942</x:v>
      </x:c>
      <x:c r="M138" s="7">
        <x:v>1.2232063652691361E-2</x:v>
      </x:c>
    </x:row>
    <x:row r="139">
      <x:c r="A139" s="2" t="s">
        <x:v>216</x:v>
      </x:c>
      <x:c r="B139" s="2" t="s">
        <x:v>216</x:v>
      </x:c>
      <x:c r="C139" s="6">
        <x:v>17</x:v>
      </x:c>
      <x:c r="D139" s="6">
        <x:v>1059</x:v>
      </x:c>
      <x:c r="E139" s="2" t="s">
        <x:v>514</x:v>
      </x:c>
      <x:c r="F139" s="7">
        <x:v>0.80673076923076914</x:v>
      </x:c>
      <x:c r="G139" s="7">
        <x:v>0.91249964361879798</x:v>
      </x:c>
      <x:c r="H139" s="7">
        <x:v>0.86021505376344087</x:v>
      </x:c>
      <x:c r="I139" s="7">
        <x:v>-1.4128096450212571</x:v>
      </x:c>
      <x:c r="J139" s="7">
        <x:v>0.36793042257089292</x:v>
      </x:c>
      <x:c r="K139" s="7">
        <x:v>1.9501270606456018E-2</x:v>
      </x:c>
      <x:c r="L139" s="7">
        <x:v>0.35407261979845039</x:v>
      </x:c>
      <x:c r="M139" s="7">
        <x:v>2.4993008330758151E-2</x:v>
      </x:c>
    </x:row>
    <x:row r="140">
      <x:c r="A140" s="2" t="s">
        <x:v>216</x:v>
      </x:c>
      <x:c r="B140" s="2" t="s">
        <x:v>216</x:v>
      </x:c>
      <x:c r="C140" s="6">
        <x:v>17</x:v>
      </x:c>
      <x:c r="D140" s="6">
        <x:v>1060</x:v>
      </x:c>
      <x:c r="E140" s="2" t="s">
        <x:v>515</x:v>
      </x:c>
      <x:c r="F140" s="7">
        <x:v>0.90384615384615385</x:v>
      </x:c>
      <x:c r="G140" s="7">
        <x:v>0.95634017758046619</x:v>
      </x:c>
      <x:c r="H140" s="7">
        <x:v>0.89189189189189189</x:v>
      </x:c>
      <x:c r="I140" s="7">
        <x:v>-1.315082384310035</x:v>
      </x:c>
      <x:c r="J140" s="7">
        <x:v>0.32637434475042071</x:v>
      </x:c>
      <x:c r="K140" s="7">
        <x:v>3.9842307139093418E-2</x:v>
      </x:c>
      <x:c r="L140" s="7">
        <x:v>0.32546794570526322</x:v>
      </x:c>
      <x:c r="M140" s="7">
        <x:v>4.0428995481572021E-2</x:v>
      </x:c>
    </x:row>
    <x:row r="141">
      <x:c r="A141" s="2" t="s">
        <x:v>216</x:v>
      </x:c>
      <x:c r="B141" s="2" t="s">
        <x:v>216</x:v>
      </x:c>
      <x:c r="C141" s="6">
        <x:v>17</x:v>
      </x:c>
      <x:c r="D141" s="6">
        <x:v>1061</x:v>
      </x:c>
      <x:c r="E141" s="2" t="s">
        <x:v>516</x:v>
      </x:c>
      <x:c r="F141" s="7">
        <x:v>0.81442307692307692</x:v>
      </x:c>
      <x:c r="G141" s="7">
        <x:v>0.92817315647035092</x:v>
      </x:c>
      <x:c r="H141" s="7">
        <x:v>0.86419753086419748</x:v>
      </x:c>
      <x:c r="I141" s="7">
        <x:v>-1.213338156272922</x:v>
      </x:c>
      <x:c r="J141" s="7">
        <x:v>0.28706936152908119</x:v>
      </x:c>
      <x:c r="K141" s="7">
        <x:v>7.2489946719694595E-2</x:v>
      </x:c>
      <x:c r="L141" s="7">
        <x:v>0.24253229976594751</x:v>
      </x:c>
      <x:c r="M141" s="7">
        <x:v>0.13158422229809899</x:v>
      </x:c>
    </x:row>
    <x:row r="142">
      <x:c r="A142" s="2" t="s">
        <x:v>216</x:v>
      </x:c>
      <x:c r="B142" s="2" t="s">
        <x:v>216</x:v>
      </x:c>
      <x:c r="C142" s="6">
        <x:v>17</x:v>
      </x:c>
      <x:c r="D142" s="6">
        <x:v>1062</x:v>
      </x:c>
      <x:c r="E142" s="2" t="s">
        <x:v>517</x:v>
      </x:c>
      <x:c r="F142" s="7">
        <x:v>0.81923076923076921</x:v>
      </x:c>
      <x:c r="G142" s="7">
        <x:v>0.91517673143610412</x:v>
      </x:c>
      <x:c r="H142" s="7">
        <x:v>0.88311688311688308</x:v>
      </x:c>
      <x:c r="I142" s="7">
        <x:v>-1.0466153027413541</x:v>
      </x:c>
      <x:c r="J142" s="7">
        <x:v>0.36711348668610838</x:v>
      </x:c>
      <x:c r="K142" s="7">
        <x:v>1.979422556150599E-2</x:v>
      </x:c>
      <x:c r="L142" s="7">
        <x:v>0.27418360427668531</x:v>
      </x:c>
      <x:c r="M142" s="7">
        <x:v>8.6881023764760881E-2</x:v>
      </x:c>
    </x:row>
    <x:row r="143">
      <x:c r="A143" s="2" t="s">
        <x:v>216</x:v>
      </x:c>
      <x:c r="B143" s="2" t="s">
        <x:v>216</x:v>
      </x:c>
      <x:c r="C143" s="6">
        <x:v>17</x:v>
      </x:c>
      <x:c r="D143" s="6">
        <x:v>1063</x:v>
      </x:c>
      <x:c r="E143" s="2" t="s">
        <x:v>518</x:v>
      </x:c>
      <x:c r="F143" s="7">
        <x:v>0.79903846153846159</x:v>
      </x:c>
      <x:c r="G143" s="7">
        <x:v>0.91817570581041785</x:v>
      </x:c>
      <x:c r="H143" s="7">
        <x:v>0.86021505376344087</x:v>
      </x:c>
      <x:c r="I143" s="7">
        <x:v>-1.3289711013133341</x:v>
      </x:c>
      <x:c r="J143" s="7">
        <x:v>0.30074655630725888</x:v>
      </x:c>
      <x:c r="K143" s="7">
        <x:v>5.9336733637825163E-2</x:v>
      </x:c>
      <x:c r="L143" s="7">
        <x:v>0.28075763209693938</x:v>
      </x:c>
      <x:c r="M143" s="7">
        <x:v>7.9285140036464807E-2</x:v>
      </x:c>
    </x:row>
    <x:row r="144">
      <x:c r="A144" s="2" t="s">
        <x:v>216</x:v>
      </x:c>
      <x:c r="B144" s="2" t="s">
        <x:v>216</x:v>
      </x:c>
      <x:c r="C144" s="6">
        <x:v>17</x:v>
      </x:c>
      <x:c r="D144" s="6">
        <x:v>1064</x:v>
      </x:c>
      <x:c r="E144" s="2" t="s">
        <x:v>519</x:v>
      </x:c>
      <x:c r="F144" s="7">
        <x:v>0.84711538461538471</x:v>
      </x:c>
      <x:c r="G144" s="7">
        <x:v>0.93922873542943741</x:v>
      </x:c>
      <x:c r="H144" s="7">
        <x:v>0.89743589743589747</x:v>
      </x:c>
      <x:c r="I144" s="7">
        <x:v>-1.3265492871028399</x:v>
      </x:c>
      <x:c r="J144" s="7">
        <x:v>0.46697050727073802</x:v>
      </x:c>
      <x:c r="K144" s="7">
        <x:v>2.383997883150117E-3</x:v>
      </x:c>
      <x:c r="L144" s="7">
        <x:v>0.48515680820607421</x:v>
      </x:c>
      <x:c r="M144" s="7">
        <x:v>1.5087803727318601E-3</x:v>
      </x:c>
    </x:row>
    <x:row r="145">
      <x:c r="A145" s="2" t="s">
        <x:v>216</x:v>
      </x:c>
      <x:c r="B145" s="2" t="s">
        <x:v>216</x:v>
      </x:c>
      <x:c r="C145" s="6">
        <x:v>17</x:v>
      </x:c>
      <x:c r="D145" s="6">
        <x:v>1065</x:v>
      </x:c>
      <x:c r="E145" s="2" t="s">
        <x:v>520</x:v>
      </x:c>
      <x:c r="F145" s="7">
        <x:v>0.95</x:v>
      </x:c>
      <x:c r="G145" s="7">
        <x:v>0.97547169811320755</x:v>
      </x:c>
      <x:c r="H145" s="7">
        <x:v>0.94736842105263153</x:v>
      </x:c>
      <x:c r="I145" s="7">
        <x:v>-1.197068596088225</x:v>
      </x:c>
      <x:c r="J145" s="7">
        <x:v>0.28533888512125771</x:v>
      </x:c>
      <x:c r="K145" s="7">
        <x:v>7.4305695559629126E-2</x:v>
      </x:c>
      <x:c r="L145" s="7">
        <x:v>0.20907313940823391</x:v>
      </x:c>
      <x:c r="M145" s="7">
        <x:v>0.19541396715058959</x:v>
      </x:c>
    </x:row>
    <x:row r="146">
      <x:c r="A146" s="2" t="s">
        <x:v>216</x:v>
      </x:c>
      <x:c r="B146" s="2" t="s">
        <x:v>216</x:v>
      </x:c>
      <x:c r="C146" s="6">
        <x:v>17</x:v>
      </x:c>
      <x:c r="D146" s="6">
        <x:v>1066</x:v>
      </x:c>
      <x:c r="E146" s="2" t="s">
        <x:v>521</x:v>
      </x:c>
      <x:c r="F146" s="7">
        <x:v>0.91346153846153832</x:v>
      </x:c>
      <x:c r="G146" s="7">
        <x:v>0.96483099696150354</x:v>
      </x:c>
      <x:c r="H146" s="7">
        <x:v>0.93506493506493504</x:v>
      </x:c>
      <x:c r="I146" s="7">
        <x:v>-1.195914158771008</x:v>
      </x:c>
      <x:c r="J146" s="7">
        <x:v>0.47254815151325591</x:v>
      </x:c>
      <x:c r="K146" s="7">
        <x:v>2.0773804681684998E-3</x:v>
      </x:c>
      <x:c r="L146" s="7">
        <x:v>0.33585288174026301</x:v>
      </x:c>
      <x:c r="M146" s="7">
        <x:v>3.4112495029640803E-2</x:v>
      </x:c>
    </x:row>
    <x:row r="147">
      <x:c r="A147" s="2" t="s">
        <x:v>216</x:v>
      </x:c>
      <x:c r="B147" s="2" t="s">
        <x:v>216</x:v>
      </x:c>
      <x:c r="C147" s="6">
        <x:v>17</x:v>
      </x:c>
      <x:c r="D147" s="6">
        <x:v>1067</x:v>
      </x:c>
      <x:c r="E147" s="2" t="s">
        <x:v>522</x:v>
      </x:c>
      <x:c r="F147" s="7">
        <x:v>0.8307692307692307</x:v>
      </x:c>
      <x:c r="G147" s="7">
        <x:v>0.9310316131210542</x:v>
      </x:c>
      <x:c r="H147" s="7">
        <x:v>0.86021505376344087</x:v>
      </x:c>
      <x:c r="I147" s="7">
        <x:v>-1.2820969708288621</x:v>
      </x:c>
      <x:c r="J147" s="7">
        <x:v>0.46910862778239337</x:v>
      </x:c>
      <x:c r="K147" s="7">
        <x:v>2.262057551369713E-3</x:v>
      </x:c>
      <x:c r="L147" s="7">
        <x:v>0.46088743883522071</x:v>
      </x:c>
      <x:c r="M147" s="7">
        <x:v>2.7630644590045882E-3</x:v>
      </x:c>
    </x:row>
    <x:row r="148">
      <x:c r="A148" s="2" t="s">
        <x:v>216</x:v>
      </x:c>
      <x:c r="B148" s="2" t="s">
        <x:v>216</x:v>
      </x:c>
      <x:c r="C148" s="6">
        <x:v>17</x:v>
      </x:c>
      <x:c r="D148" s="6">
        <x:v>1068</x:v>
      </x:c>
      <x:c r="E148" s="2" t="s">
        <x:v>523</x:v>
      </x:c>
      <x:c r="F148" s="7">
        <x:v>0.89711538461538465</x:v>
      </x:c>
      <x:c r="G148" s="7">
        <x:v>0.95876036843272527</x:v>
      </x:c>
      <x:c r="H148" s="7">
        <x:v>0.89473684210526316</x:v>
      </x:c>
      <x:c r="I148" s="7">
        <x:v>-1.110580506053124</x:v>
      </x:c>
      <x:c r="J148" s="7">
        <x:v>0.39569686370794432</x:v>
      </x:c>
      <x:c r="K148" s="7">
        <x:v>1.149280376951296E-2</x:v>
      </x:c>
      <x:c r="L148" s="7">
        <x:v>0.34169999879422658</x:v>
      </x:c>
      <x:c r="M148" s="7">
        <x:v>3.0928170236973938E-2</x:v>
      </x:c>
    </x:row>
    <x:row r="149">
      <x:c r="A149" s="2" t="s">
        <x:v>216</x:v>
      </x:c>
      <x:c r="B149" s="2" t="s">
        <x:v>216</x:v>
      </x:c>
      <x:c r="C149" s="6">
        <x:v>17</x:v>
      </x:c>
      <x:c r="D149" s="6">
        <x:v>1069</x:v>
      </x:c>
      <x:c r="E149" s="2" t="s">
        <x:v>524</x:v>
      </x:c>
      <x:c r="F149" s="7">
        <x:v>0.77692307692307694</x:v>
      </x:c>
      <x:c r="G149" s="7">
        <x:v>0.8997933580480032</x:v>
      </x:c>
      <x:c r="H149" s="7">
        <x:v>0.86021505376344087</x:v>
      </x:c>
      <x:c r="I149" s="7">
        <x:v>-1.130151981656802</x:v>
      </x:c>
      <x:c r="J149" s="7">
        <x:v>0.5906222518151818</x:v>
      </x:c>
      <x:c r="K149" s="7">
        <x:v>6.0202628015055328E-5</x:v>
      </x:c>
      <x:c r="L149" s="7">
        <x:v>0.49716446426265232</x:v>
      </x:c>
      <x:c r="M149" s="7">
        <x:v>1.099954230168432E-3</x:v>
      </x:c>
    </x:row>
    <x:row r="150">
      <x:c r="A150" s="2" t="s">
        <x:v>216</x:v>
      </x:c>
      <x:c r="B150" s="2" t="s">
        <x:v>216</x:v>
      </x:c>
      <x:c r="C150" s="6">
        <x:v>17</x:v>
      </x:c>
      <x:c r="D150" s="6">
        <x:v>1070</x:v>
      </x:c>
      <x:c r="E150" s="2" t="s">
        <x:v>525</x:v>
      </x:c>
      <x:c r="F150" s="7">
        <x:v>0.78557692307692317</x:v>
      </x:c>
      <x:c r="G150" s="7">
        <x:v>0.90069753482011494</x:v>
      </x:c>
      <x:c r="H150" s="7">
        <x:v>0.86021505376344087</x:v>
      </x:c>
      <x:c r="I150" s="7">
        <x:v>-1.1278979512492631</x:v>
      </x:c>
      <x:c r="J150" s="7">
        <x:v>0.38106336781326727</x:v>
      </x:c>
      <x:c r="K150" s="7">
        <x:v>1.526826337887457E-2</x:v>
      </x:c>
      <x:c r="L150" s="7">
        <x:v>0.27201476399699848</x:v>
      </x:c>
      <x:c r="M150" s="7">
        <x:v>8.950694352679818E-2</x:v>
      </x:c>
    </x:row>
    <x:row r="151">
      <x:c r="A151" s="2" t="s">
        <x:v>216</x:v>
      </x:c>
      <x:c r="B151" s="2" t="s">
        <x:v>216</x:v>
      </x:c>
      <x:c r="C151" s="6">
        <x:v>17</x:v>
      </x:c>
      <x:c r="D151" s="6">
        <x:v>1071</x:v>
      </x:c>
      <x:c r="E151" s="2" t="s">
        <x:v>526</x:v>
      </x:c>
      <x:c r="F151" s="7">
        <x:v>0.86634615384615377</x:v>
      </x:c>
      <x:c r="G151" s="7">
        <x:v>0.93408245205199036</x:v>
      </x:c>
      <x:c r="H151" s="7">
        <x:v>0.90909090909090906</x:v>
      </x:c>
      <x:c r="I151" s="7">
        <x:v>-0.99098446096427373</x:v>
      </x:c>
      <x:c r="J151" s="7">
        <x:v>0.51929786367543973</x:v>
      </x:c>
      <x:c r="K151" s="7">
        <x:v>5.9553764565857775E-4</x:v>
      </x:c>
      <x:c r="L151" s="7">
        <x:v>0.3944745657395462</x:v>
      </x:c>
      <x:c r="M151" s="7">
        <x:v>1.177429402176627E-2</x:v>
      </x:c>
    </x:row>
    <x:row r="152">
      <x:c r="A152" s="2" t="s">
        <x:v>216</x:v>
      </x:c>
      <x:c r="B152" s="2" t="s">
        <x:v>216</x:v>
      </x:c>
      <x:c r="C152" s="6">
        <x:v>19</x:v>
      </x:c>
      <x:c r="D152" s="6">
        <x:v>1042</x:v>
      </x:c>
      <x:c r="E152" s="2" t="s">
        <x:v>527</x:v>
      </x:c>
      <x:c r="F152" s="7">
        <x:v>0.80673076923076914</x:v>
      </x:c>
      <x:c r="G152" s="7">
        <x:v>0.92527017117320609</x:v>
      </x:c>
      <x:c r="H152" s="7">
        <x:v>0.86021505376344087</x:v>
      </x:c>
      <x:c r="I152" s="7">
        <x:v>-1.1193684155351029</x:v>
      </x:c>
      <x:c r="J152" s="7">
        <x:v>0.23453205910544611</x:v>
      </x:c>
      <x:c r="K152" s="7">
        <x:v>0.14520443224279711</x:v>
      </x:c>
      <x:c r="L152" s="7">
        <x:v>0.32035122012442002</x:v>
      </x:c>
      <x:c r="M152" s="7">
        <x:v>4.3874131422440427E-2</x:v>
      </x:c>
    </x:row>
    <x:row r="153">
      <x:c r="A153" s="2" t="s">
        <x:v>216</x:v>
      </x:c>
      <x:c r="B153" s="2" t="s">
        <x:v>216</x:v>
      </x:c>
      <x:c r="C153" s="6">
        <x:v>19</x:v>
      </x:c>
      <x:c r="D153" s="6">
        <x:v>1043</x:v>
      </x:c>
      <x:c r="E153" s="2" t="s">
        <x:v>528</x:v>
      </x:c>
      <x:c r="F153" s="7">
        <x:v>0.90865384615384615</x:v>
      </x:c>
      <x:c r="G153" s="7">
        <x:v>0.96165695122673989</x:v>
      </x:c>
      <x:c r="H153" s="7">
        <x:v>0.90909090909090906</x:v>
      </x:c>
      <x:c r="I153" s="7">
        <x:v>-1.4940568899648321</x:v>
      </x:c>
      <x:c r="J153" s="7">
        <x:v>0.25241820209034033</x:v>
      </x:c>
      <x:c r="K153" s="7">
        <x:v>0.1160952372865055</x:v>
      </x:c>
      <x:c r="L153" s="7">
        <x:v>0.31066183301030192</x:v>
      </x:c>
      <x:c r="M153" s="7">
        <x:v>5.1048444802687103E-2</x:v>
      </x:c>
    </x:row>
    <x:row r="154">
      <x:c r="A154" s="2" t="s">
        <x:v>216</x:v>
      </x:c>
      <x:c r="B154" s="2" t="s">
        <x:v>216</x:v>
      </x:c>
      <x:c r="C154" s="6">
        <x:v>19</x:v>
      </x:c>
      <x:c r="D154" s="6">
        <x:v>1044</x:v>
      </x:c>
      <x:c r="E154" s="2" t="s">
        <x:v>529</x:v>
      </x:c>
      <x:c r="F154" s="7">
        <x:v>0.85192307692307689</x:v>
      </x:c>
      <x:c r="G154" s="7">
        <x:v>0.94089409014700931</x:v>
      </x:c>
      <x:c r="H154" s="7">
        <x:v>0.86842105263157898</x:v>
      </x:c>
      <x:c r="I154" s="7">
        <x:v>-1.070425942471082</x:v>
      </x:c>
      <x:c r="J154" s="7">
        <x:v>0.4375691779375061</x:v>
      </x:c>
      <x:c r="K154" s="7">
        <x:v>4.7490800426229426E-3</x:v>
      </x:c>
      <x:c r="L154" s="7">
        <x:v>0.38683243539129408</x:v>
      </x:c>
      <x:c r="M154" s="7">
        <x:v>1.3670641668430629E-2</x:v>
      </x:c>
    </x:row>
    <x:row r="155">
      <x:c r="A155" s="2" t="s">
        <x:v>216</x:v>
      </x:c>
      <x:c r="B155" s="2" t="s">
        <x:v>216</x:v>
      </x:c>
      <x:c r="C155" s="6">
        <x:v>19</x:v>
      </x:c>
      <x:c r="D155" s="6">
        <x:v>1045</x:v>
      </x:c>
      <x:c r="E155" s="2" t="s">
        <x:v>530</x:v>
      </x:c>
      <x:c r="F155" s="7">
        <x:v>0.76346153846153841</x:v>
      </x:c>
      <x:c r="G155" s="7">
        <x:v>0.90316992810360675</x:v>
      </x:c>
      <x:c r="H155" s="7">
        <x:v>0.86021505376344087</x:v>
      </x:c>
      <x:c r="I155" s="7">
        <x:v>-1.2342599454959531</x:v>
      </x:c>
      <x:c r="J155" s="7">
        <x:v>0.28551315021232859</x:v>
      </x:c>
      <x:c r="K155" s="7">
        <x:v>7.4121243899520031E-2</x:v>
      </x:c>
      <x:c r="L155" s="7">
        <x:v>0.20982464535149681</x:v>
      </x:c>
      <x:c r="M155" s="7">
        <x:v>0.1937763132242919</x:v>
      </x:c>
    </x:row>
    <x:row r="156">
      <x:c r="A156" s="2" t="s">
        <x:v>216</x:v>
      </x:c>
      <x:c r="B156" s="2" t="s">
        <x:v>216</x:v>
      </x:c>
      <x:c r="C156" s="6">
        <x:v>19</x:v>
      </x:c>
      <x:c r="D156" s="6">
        <x:v>1046</x:v>
      </x:c>
      <x:c r="E156" s="2" t="s">
        <x:v>531</x:v>
      </x:c>
      <x:c r="F156" s="7">
        <x:v>0.92692307692307696</x:v>
      </x:c>
      <x:c r="G156" s="7">
        <x:v>0.96719559836513236</x:v>
      </x:c>
      <x:c r="H156" s="7">
        <x:v>0.92105263157894735</x:v>
      </x:c>
      <x:c r="I156" s="7">
        <x:v>-1.4161619214346379</x:v>
      </x:c>
      <x:c r="J156" s="7">
        <x:v>0.4347419756847502</x:v>
      </x:c>
      <x:c r="K156" s="7">
        <x:v>5.0587298433419584E-3</x:v>
      </x:c>
      <x:c r="L156" s="7">
        <x:v>0.34971146870185732</x:v>
      </x:c>
      <x:c r="M156" s="7">
        <x:v>2.69665145343762E-2</x:v>
      </x:c>
    </x:row>
    <x:row r="157">
      <x:c r="A157" s="2" t="s">
        <x:v>216</x:v>
      </x:c>
      <x:c r="B157" s="2" t="s">
        <x:v>216</x:v>
      </x:c>
      <x:c r="C157" s="6">
        <x:v>19</x:v>
      </x:c>
      <x:c r="D157" s="6">
        <x:v>1047</x:v>
      </x:c>
      <x:c r="E157" s="2" t="s">
        <x:v>532</x:v>
      </x:c>
      <x:c r="F157" s="7">
        <x:v>0.74903846153846165</x:v>
      </x:c>
      <x:c r="G157" s="7">
        <x:v>0.88782218602812313</x:v>
      </x:c>
      <x:c r="H157" s="7">
        <x:v>0.86021505376344087</x:v>
      </x:c>
      <x:c r="I157" s="7">
        <x:v>-1.0728780624918119</x:v>
      </x:c>
      <x:c r="J157" s="7">
        <x:v>0.30531669106688242</x:v>
      </x:c>
      <x:c r="K157" s="7">
        <x:v>5.5392478139817528E-2</x:v>
      </x:c>
      <x:c r="L157" s="7">
        <x:v>0.26695400696318378</x:v>
      </x:c>
      <x:c r="M157" s="7">
        <x:v>9.5872611530865709E-2</x:v>
      </x:c>
    </x:row>
    <x:row r="158">
      <x:c r="A158" s="2" t="s">
        <x:v>216</x:v>
      </x:c>
      <x:c r="B158" s="2" t="s">
        <x:v>216</x:v>
      </x:c>
      <x:c r="C158" s="6">
        <x:v>19</x:v>
      </x:c>
      <x:c r="D158" s="6">
        <x:v>1048</x:v>
      </x:c>
      <x:c r="E158" s="2" t="s">
        <x:v>533</x:v>
      </x:c>
      <x:c r="F158" s="7">
        <x:v>0.8471153846153846</x:v>
      </x:c>
      <x:c r="G158" s="7">
        <x:v>0.93467377781677086</x:v>
      </x:c>
      <x:c r="H158" s="7">
        <x:v>0.86021505376344087</x:v>
      </x:c>
      <x:c r="I158" s="7">
        <x:v>-1.4332554262862871</x:v>
      </x:c>
      <x:c r="J158" s="7">
        <x:v>0.48050219018622042</x:v>
      </x:c>
      <x:c r="K158" s="7">
        <x:v>1.7002412943880731E-3</x:v>
      </x:c>
      <x:c r="L158" s="7">
        <x:v>0.48738598329386651</x:v>
      </x:c>
      <x:c r="M158" s="7">
        <x:v>1.4240316458936019E-3</x:v>
      </x:c>
    </x:row>
    <x:row r="159">
      <x:c r="A159" s="2" t="s">
        <x:v>216</x:v>
      </x:c>
      <x:c r="B159" s="2" t="s">
        <x:v>216</x:v>
      </x:c>
      <x:c r="C159" s="6">
        <x:v>19</x:v>
      </x:c>
      <x:c r="D159" s="6">
        <x:v>1049</x:v>
      </x:c>
      <x:c r="E159" s="2" t="s">
        <x:v>534</x:v>
      </x:c>
      <x:c r="F159" s="7">
        <x:v>0.83365384615384597</x:v>
      </x:c>
      <x:c r="G159" s="7">
        <x:v>0.93194879421899757</x:v>
      </x:c>
      <x:c r="H159" s="7">
        <x:v>0.86021505376344087</x:v>
      </x:c>
      <x:c r="I159" s="7">
        <x:v>-1.098324892661221</x:v>
      </x:c>
      <x:c r="J159" s="7">
        <x:v>0.24490958384462511</x:v>
      </x:c>
      <x:c r="K159" s="7">
        <x:v>0.12772632242449411</x:v>
      </x:c>
      <x:c r="L159" s="7">
        <x:v>0.17158021659754949</x:v>
      </x:c>
      <x:c r="M159" s="7">
        <x:v>0.28976671224685202</x:v>
      </x:c>
    </x:row>
    <x:row r="160">
      <x:c r="A160" s="2" t="s">
        <x:v>216</x:v>
      </x:c>
      <x:c r="B160" s="2" t="s">
        <x:v>216</x:v>
      </x:c>
      <x:c r="C160" s="6">
        <x:v>19</x:v>
      </x:c>
      <x:c r="D160" s="6">
        <x:v>1050</x:v>
      </x:c>
      <x:c r="E160" s="2" t="s">
        <x:v>535</x:v>
      </x:c>
      <x:c r="F160" s="7">
        <x:v>0.83365384615384619</x:v>
      </x:c>
      <x:c r="G160" s="7">
        <x:v>0.92682124453966375</x:v>
      </x:c>
      <x:c r="H160" s="7">
        <x:v>0.86021505376344087</x:v>
      </x:c>
      <x:c r="I160" s="7">
        <x:v>-1.3618355874585779</x:v>
      </x:c>
      <x:c r="J160" s="7">
        <x:v>0.37547771329029572</x:v>
      </x:c>
      <x:c r="K160" s="7">
        <x:v>1.6962626686828439E-2</x:v>
      </x:c>
      <x:c r="L160" s="7">
        <x:v>0.3217433499537804</x:v>
      </x:c>
      <x:c r="M160" s="7">
        <x:v>4.2914065888923818E-2</x:v>
      </x:c>
    </x:row>
    <x:row r="161">
      <x:c r="A161" s="2" t="s">
        <x:v>216</x:v>
      </x:c>
      <x:c r="B161" s="2" t="s">
        <x:v>216</x:v>
      </x:c>
      <x:c r="C161" s="6">
        <x:v>19</x:v>
      </x:c>
      <x:c r="D161" s="6">
        <x:v>1051</x:v>
      </x:c>
      <x:c r="E161" s="2" t="s">
        <x:v>536</x:v>
      </x:c>
      <x:c r="F161" s="7">
        <x:v>0.94423076923076921</x:v>
      </x:c>
      <x:c r="G161" s="7">
        <x:v>0.980856039589585</x:v>
      </x:c>
      <x:c r="H161" s="7">
        <x:v>0.93670886075949367</x:v>
      </x:c>
      <x:c r="I161" s="7">
        <x:v>-1.2683223997059889</x:v>
      </x:c>
      <x:c r="J161" s="7">
        <x:v>7.6933903280981368E-3</x:v>
      </x:c>
      <x:c r="K161" s="7">
        <x:v>0.96242157755779623</x:v>
      </x:c>
      <x:c r="L161" s="7">
        <x:v>0.1408147740354769</x:v>
      </x:c>
      <x:c r="M161" s="7">
        <x:v>0.38611726636978128</x:v>
      </x:c>
    </x:row>
    <x:row r="162">
      <x:c r="A162" s="2" t="s">
        <x:v>216</x:v>
      </x:c>
      <x:c r="B162" s="2" t="s">
        <x:v>216</x:v>
      </x:c>
      <x:c r="C162" s="6">
        <x:v>19</x:v>
      </x:c>
      <x:c r="D162" s="6">
        <x:v>1052</x:v>
      </x:c>
      <x:c r="E162" s="2" t="s">
        <x:v>537</x:v>
      </x:c>
      <x:c r="F162" s="7">
        <x:v>0.82884615384615379</x:v>
      </x:c>
      <x:c r="G162" s="7">
        <x:v>0.92766094484355566</x:v>
      </x:c>
      <x:c r="H162" s="7">
        <x:v>0.9</x:v>
      </x:c>
      <x:c r="I162" s="7">
        <x:v>-1.3036824963628491</x:v>
      </x:c>
      <x:c r="J162" s="7">
        <x:v>0.53658085895384877</x:v>
      </x:c>
      <x:c r="K162" s="7">
        <x:v>3.5800124470456281E-4</x:v>
      </x:c>
      <x:c r="L162" s="7">
        <x:v>0.5162078776448138</x:v>
      </x:c>
      <x:c r="M162" s="7">
        <x:v>6.5042871266538698E-4</x:v>
      </x:c>
    </x:row>
    <x:row r="163">
      <x:c r="A163" s="2" t="s">
        <x:v>216</x:v>
      </x:c>
      <x:c r="B163" s="2" t="s">
        <x:v>216</x:v>
      </x:c>
      <x:c r="C163" s="6">
        <x:v>19</x:v>
      </x:c>
      <x:c r="D163" s="6">
        <x:v>1053</x:v>
      </x:c>
      <x:c r="E163" s="2" t="s">
        <x:v>538</x:v>
      </x:c>
      <x:c r="F163" s="7">
        <x:v>0.85192307692307701</x:v>
      </x:c>
      <x:c r="G163" s="7">
        <x:v>0.93146410245082945</x:v>
      </x:c>
      <x:c r="H163" s="7">
        <x:v>0.89473684210526316</x:v>
      </x:c>
      <x:c r="I163" s="7">
        <x:v>-1.2487268896076</x:v>
      </x:c>
      <x:c r="J163" s="7">
        <x:v>0.49772207293993248</x:v>
      </x:c>
      <x:c r="K163" s="7">
        <x:v>1.0836257503323329E-3</x:v>
      </x:c>
      <x:c r="L163" s="7">
        <x:v>0.37334568773679749</x:v>
      </x:c>
      <x:c r="M163" s="7">
        <x:v>1.7649823823557471E-2</x:v>
      </x:c>
    </x:row>
    <x:row r="164">
      <x:c r="A164" s="2" t="s">
        <x:v>216</x:v>
      </x:c>
      <x:c r="B164" s="2" t="s">
        <x:v>216</x:v>
      </x:c>
      <x:c r="C164" s="6">
        <x:v>19</x:v>
      </x:c>
      <x:c r="D164" s="6">
        <x:v>1054</x:v>
      </x:c>
      <x:c r="E164" s="2" t="s">
        <x:v>539</x:v>
      </x:c>
      <x:c r="F164" s="7">
        <x:v>0.74423076923076925</x:v>
      </x:c>
      <x:c r="G164" s="7">
        <x:v>0.88747906351764139</x:v>
      </x:c>
      <x:c r="H164" s="7">
        <x:v>0.86021505376344087</x:v>
      </x:c>
      <x:c r="I164" s="7">
        <x:v>-1.0611700110241511</x:v>
      </x:c>
      <x:c r="J164" s="7">
        <x:v>0.5318778815147478</x:v>
      </x:c>
      <x:c r="K164" s="7">
        <x:v>4.1229182973676049E-4</x:v>
      </x:c>
      <x:c r="L164" s="7">
        <x:v>0.42943870452603361</x:v>
      </x:c>
      <x:c r="M164" s="7">
        <x:v>5.6870285734443426E-3</x:v>
      </x:c>
    </x:row>
    <x:row r="165">
      <x:c r="A165" s="2" t="s">
        <x:v>216</x:v>
      </x:c>
      <x:c r="B165" s="2" t="s">
        <x:v>216</x:v>
      </x:c>
      <x:c r="C165" s="6">
        <x:v>19</x:v>
      </x:c>
      <x:c r="D165" s="6">
        <x:v>1055</x:v>
      </x:c>
      <x:c r="E165" s="2" t="s">
        <x:v>540</x:v>
      </x:c>
      <x:c r="F165" s="7">
        <x:v>0.92500000000000004</x:v>
      </x:c>
      <x:c r="G165" s="7">
        <x:v>0.97213989103140053</x:v>
      </x:c>
      <x:c r="H165" s="7">
        <x:v>0.92105263157894735</x:v>
      </x:c>
      <x:c r="I165" s="7">
        <x:v>-0.91339589200793547</x:v>
      </x:c>
      <x:c r="J165" s="7">
        <x:v>0.16690921761821109</x:v>
      </x:c>
      <x:c r="K165" s="7">
        <x:v>0.30329361301112151</x:v>
      </x:c>
      <x:c r="L165" s="7">
        <x:v>0.2267511702912299</x:v>
      </x:c>
      <x:c r="M165" s="7">
        <x:v>0.15941879191903391</x:v>
      </x:c>
    </x:row>
    <x:row r="166">
      <x:c r="A166" s="2" t="s">
        <x:v>216</x:v>
      </x:c>
      <x:c r="B166" s="2" t="s">
        <x:v>216</x:v>
      </x:c>
      <x:c r="C166" s="6">
        <x:v>19</x:v>
      </x:c>
      <x:c r="D166" s="6">
        <x:v>1056</x:v>
      </x:c>
      <x:c r="E166" s="2" t="s">
        <x:v>541</x:v>
      </x:c>
      <x:c r="F166" s="7">
        <x:v>0.80865384615384628</x:v>
      </x:c>
      <x:c r="G166" s="7">
        <x:v>0.92440561015797873</x:v>
      </x:c>
      <x:c r="H166" s="7">
        <x:v>0.86075949367088611</x:v>
      </x:c>
      <x:c r="I166" s="7">
        <x:v>-1.226215307083186</x:v>
      </x:c>
      <x:c r="J166" s="7">
        <x:v>0.57026151796723623</x:v>
      </x:c>
      <x:c r="K166" s="7">
        <x:v>1.222373848006206E-4</x:v>
      </x:c>
      <x:c r="L166" s="7">
        <x:v>0.41940108271818699</x:v>
      </x:c>
      <x:c r="M166" s="7">
        <x:v>7.0626914222178278E-3</x:v>
      </x:c>
    </x:row>
    <x:row r="167">
      <x:c r="A167" s="2" t="s">
        <x:v>216</x:v>
      </x:c>
      <x:c r="B167" s="2" t="s">
        <x:v>216</x:v>
      </x:c>
      <x:c r="C167" s="6">
        <x:v>19</x:v>
      </x:c>
      <x:c r="D167" s="6">
        <x:v>1057</x:v>
      </x:c>
      <x:c r="E167" s="2" t="s">
        <x:v>542</x:v>
      </x:c>
      <x:c r="F167" s="7">
        <x:v>0.80576923076923079</x:v>
      </x:c>
      <x:c r="G167" s="7">
        <x:v>0.92497421039195005</x:v>
      </x:c>
      <x:c r="H167" s="7">
        <x:v>0.86021505376344087</x:v>
      </x:c>
      <x:c r="I167" s="7">
        <x:v>-0.96437292820957543</x:v>
      </x:c>
      <x:c r="J167" s="7">
        <x:v>0.68216149718803898</x:v>
      </x:c>
      <x:c r="K167" s="7">
        <x:v>1.2502360020647559E-6</x:v>
      </x:c>
      <x:c r="L167" s="7">
        <x:v>0.47222937499759171</x:v>
      </x:c>
      <x:c r="M167" s="7">
        <x:v>2.093919862741757E-3</x:v>
      </x:c>
    </x:row>
    <x:row r="168">
      <x:c r="A168" s="2" t="s">
        <x:v>216</x:v>
      </x:c>
      <x:c r="B168" s="2" t="s">
        <x:v>216</x:v>
      </x:c>
      <x:c r="C168" s="6">
        <x:v>19</x:v>
      </x:c>
      <x:c r="D168" s="6">
        <x:v>1058</x:v>
      </x:c>
      <x:c r="E168" s="2" t="s">
        <x:v>543</x:v>
      </x:c>
      <x:c r="F168" s="7">
        <x:v>0.87884615384615383</x:v>
      </x:c>
      <x:c r="G168" s="7">
        <x:v>0.95003583767731647</x:v>
      </x:c>
      <x:c r="H168" s="7">
        <x:v>0.89473684210526316</x:v>
      </x:c>
      <x:c r="I168" s="7">
        <x:v>-1.2567678444506289</x:v>
      </x:c>
      <x:c r="J168" s="7">
        <x:v>0.41918872215652808</x:v>
      </x:c>
      <x:c r="K168" s="7">
        <x:v>7.0946478437350904E-3</x:v>
      </x:c>
      <x:c r="L168" s="7">
        <x:v>0.37499751269796588</x:v>
      </x:c>
      <x:c r="M168" s="7">
        <x:v>1.7115406365673099E-2</x:v>
      </x:c>
    </x:row>
    <x:row r="169">
      <x:c r="A169" s="2" t="s">
        <x:v>216</x:v>
      </x:c>
      <x:c r="B169" s="2" t="s">
        <x:v>216</x:v>
      </x:c>
      <x:c r="C169" s="6">
        <x:v>19</x:v>
      </x:c>
      <x:c r="D169" s="6">
        <x:v>1059</x:v>
      </x:c>
      <x:c r="E169" s="2" t="s">
        <x:v>544</x:v>
      </x:c>
      <x:c r="F169" s="7">
        <x:v>0.80961538461538451</x:v>
      </x:c>
      <x:c r="G169" s="7">
        <x:v>0.91464911451826891</x:v>
      </x:c>
      <x:c r="H169" s="7">
        <x:v>0.86021505376344087</x:v>
      </x:c>
      <x:c r="I169" s="7">
        <x:v>-1.3485458397136521</x:v>
      </x:c>
      <x:c r="J169" s="7">
        <x:v>0.38757176463479148</x:v>
      </x:c>
      <x:c r="K169" s="7">
        <x:v>1.34765347240818E-2</x:v>
      </x:c>
      <x:c r="L169" s="7">
        <x:v>0.36439431723100502</x:v>
      </x:c>
      <x:c r="M169" s="7">
        <x:v>2.0796021970691039E-2</x:v>
      </x:c>
    </x:row>
    <x:row r="170">
      <x:c r="A170" s="2" t="s">
        <x:v>216</x:v>
      </x:c>
      <x:c r="B170" s="2" t="s">
        <x:v>216</x:v>
      </x:c>
      <x:c r="C170" s="6">
        <x:v>19</x:v>
      </x:c>
      <x:c r="D170" s="6">
        <x:v>1060</x:v>
      </x:c>
      <x:c r="E170" s="2" t="s">
        <x:v>545</x:v>
      </x:c>
      <x:c r="F170" s="7">
        <x:v>0.90576923076923077</x:v>
      </x:c>
      <x:c r="G170" s="7">
        <x:v>0.95707547169811324</x:v>
      </x:c>
      <x:c r="H170" s="7">
        <x:v>0.90410958904109584</x:v>
      </x:c>
      <x:c r="I170" s="7">
        <x:v>-1.235442771844431</x:v>
      </x:c>
      <x:c r="J170" s="7">
        <x:v>0.33653239352075082</x:v>
      </x:c>
      <x:c r="K170" s="7">
        <x:v>3.3729164315420321E-2</x:v>
      </x:c>
      <x:c r="L170" s="7">
        <x:v>0.3409294460276362</x:v>
      </x:c>
      <x:c r="M170" s="7">
        <x:v>3.1333244417493578E-2</x:v>
      </x:c>
    </x:row>
    <x:row r="171">
      <x:c r="A171" s="2" t="s">
        <x:v>216</x:v>
      </x:c>
      <x:c r="B171" s="2" t="s">
        <x:v>216</x:v>
      </x:c>
      <x:c r="C171" s="6">
        <x:v>19</x:v>
      </x:c>
      <x:c r="D171" s="6">
        <x:v>1061</x:v>
      </x:c>
      <x:c r="E171" s="2" t="s">
        <x:v>546</x:v>
      </x:c>
      <x:c r="F171" s="7">
        <x:v>0.83846153846153837</x:v>
      </x:c>
      <x:c r="G171" s="7">
        <x:v>0.93812306020283165</x:v>
      </x:c>
      <x:c r="H171" s="7">
        <x:v>0.87804878048780488</x:v>
      </x:c>
      <x:c r="I171" s="7">
        <x:v>-1.232497160633369</x:v>
      </x:c>
      <x:c r="J171" s="7">
        <x:v>0.24535389661413409</x:v>
      </x:c>
      <x:c r="K171" s="7">
        <x:v>0.12701474791167111</x:v>
      </x:c>
      <x:c r="L171" s="7">
        <x:v>0.2072677642620426</x:v>
      </x:c>
      <x:c r="M171" s="7">
        <x:v>0.19938791440864159</x:v>
      </x:c>
    </x:row>
    <x:row r="172">
      <x:c r="A172" s="2" t="s">
        <x:v>216</x:v>
      </x:c>
      <x:c r="B172" s="2" t="s">
        <x:v>216</x:v>
      </x:c>
      <x:c r="C172" s="6">
        <x:v>19</x:v>
      </x:c>
      <x:c r="D172" s="6">
        <x:v>1062</x:v>
      </x:c>
      <x:c r="E172" s="2" t="s">
        <x:v>547</x:v>
      </x:c>
      <x:c r="F172" s="7">
        <x:v>0.8288461538461539</x:v>
      </x:c>
      <x:c r="G172" s="7">
        <x:v>0.91663326077863616</x:v>
      </x:c>
      <x:c r="H172" s="7">
        <x:v>0.88311688311688308</x:v>
      </x:c>
      <x:c r="I172" s="7">
        <x:v>-1.010706014627937</x:v>
      </x:c>
      <x:c r="J172" s="7">
        <x:v>0.37568180030975101</x:v>
      </x:c>
      <x:c r="K172" s="7">
        <x:v>1.6898043418456032E-2</x:v>
      </x:c>
      <x:c r="L172" s="7">
        <x:v>0.28119512874853042</x:v>
      </x:c>
      <x:c r="M172" s="7">
        <x:v>7.8798657782403317E-2</x:v>
      </x:c>
    </x:row>
    <x:row r="173">
      <x:c r="A173" s="2" t="s">
        <x:v>216</x:v>
      </x:c>
      <x:c r="B173" s="2" t="s">
        <x:v>216</x:v>
      </x:c>
      <x:c r="C173" s="6">
        <x:v>19</x:v>
      </x:c>
      <x:c r="D173" s="6">
        <x:v>1063</x:v>
      </x:c>
      <x:c r="E173" s="2" t="s">
        <x:v>548</x:v>
      </x:c>
      <x:c r="F173" s="7">
        <x:v>0.79807692307692313</x:v>
      </x:c>
      <x:c r="G173" s="7">
        <x:v>0.91753696546579522</x:v>
      </x:c>
      <x:c r="H173" s="7">
        <x:v>0.86021505376344087</x:v>
      </x:c>
      <x:c r="I173" s="7">
        <x:v>-1.354150393111313</x:v>
      </x:c>
      <x:c r="J173" s="7">
        <x:v>0.31129576216582849</x:v>
      </x:c>
      <x:c r="K173" s="7">
        <x:v>5.0551938171727213E-2</x:v>
      </x:c>
      <x:c r="L173" s="7">
        <x:v>0.28154152952040967</x:v>
      </x:c>
      <x:c r="M173" s="7">
        <x:v>7.8415127112122812E-2</x:v>
      </x:c>
    </x:row>
    <x:row r="174">
      <x:c r="A174" s="2" t="s">
        <x:v>216</x:v>
      </x:c>
      <x:c r="B174" s="2" t="s">
        <x:v>216</x:v>
      </x:c>
      <x:c r="C174" s="6">
        <x:v>19</x:v>
      </x:c>
      <x:c r="D174" s="6">
        <x:v>1064</x:v>
      </x:c>
      <x:c r="E174" s="2" t="s">
        <x:v>549</x:v>
      </x:c>
      <x:c r="F174" s="7">
        <x:v>0.86153846153846159</x:v>
      </x:c>
      <x:c r="G174" s="7">
        <x:v>0.94192716275319233</x:v>
      </x:c>
      <x:c r="H174" s="7">
        <x:v>0.88311688311688308</x:v>
      </x:c>
      <x:c r="I174" s="7">
        <x:v>-1.4200507708313661</x:v>
      </x:c>
      <x:c r="J174" s="7">
        <x:v>0.40620209955056219</x:v>
      </x:c>
      <x:c r="K174" s="7">
        <x:v>9.3010113501398005E-3</x:v>
      </x:c>
      <x:c r="L174" s="7">
        <x:v>0.41259176155912802</x:v>
      </x:c>
      <x:c r="M174" s="7">
        <x:v>8.1513709683688328E-3</x:v>
      </x:c>
    </x:row>
    <x:row r="175">
      <x:c r="A175" s="2" t="s">
        <x:v>216</x:v>
      </x:c>
      <x:c r="B175" s="2" t="s">
        <x:v>216</x:v>
      </x:c>
      <x:c r="C175" s="6">
        <x:v>19</x:v>
      </x:c>
      <x:c r="D175" s="6">
        <x:v>1065</x:v>
      </x:c>
      <x:c r="E175" s="2" t="s">
        <x:v>550</x:v>
      </x:c>
      <x:c r="F175" s="7">
        <x:v>0.95</x:v>
      </x:c>
      <x:c r="G175" s="7">
        <x:v>0.97547169811320755</x:v>
      </x:c>
      <x:c r="H175" s="7">
        <x:v>0.94736842105263153</x:v>
      </x:c>
      <x:c r="I175" s="7">
        <x:v>-1.1971288116060801</x:v>
      </x:c>
      <x:c r="J175" s="7">
        <x:v>0.28721611462863439</x:v>
      </x:c>
      <x:c r="K175" s="7">
        <x:v>7.2337580215397532E-2</x:v>
      </x:c>
      <x:c r="L175" s="7">
        <x:v>0.20726050169720719</x:v>
      </x:c>
      <x:c r="M175" s="7">
        <x:v>0.1994040141732166</x:v>
      </x:c>
    </x:row>
    <x:row r="176">
      <x:c r="A176" s="2" t="s">
        <x:v>216</x:v>
      </x:c>
      <x:c r="B176" s="2" t="s">
        <x:v>216</x:v>
      </x:c>
      <x:c r="C176" s="6">
        <x:v>19</x:v>
      </x:c>
      <x:c r="D176" s="6">
        <x:v>1066</x:v>
      </x:c>
      <x:c r="E176" s="2" t="s">
        <x:v>551</x:v>
      </x:c>
      <x:c r="F176" s="7">
        <x:v>0.91346153846153832</x:v>
      </x:c>
      <x:c r="G176" s="7">
        <x:v>0.96483099696150376</x:v>
      </x:c>
      <x:c r="H176" s="7">
        <x:v>0.93506493506493504</x:v>
      </x:c>
      <x:c r="I176" s="7">
        <x:v>-1.203737196341379</x:v>
      </x:c>
      <x:c r="J176" s="7">
        <x:v>0.47048339295649499</x:v>
      </x:c>
      <x:c r="K176" s="7">
        <x:v>2.1865799406546871E-3</x:v>
      </x:c>
      <x:c r="L176" s="7">
        <x:v>0.33151707758018889</x:v>
      </x:c>
      <x:c r="M176" s="7">
        <x:v>3.6643430739083611E-2</x:v>
      </x:c>
    </x:row>
    <x:row r="177">
      <x:c r="A177" s="2" t="s">
        <x:v>216</x:v>
      </x:c>
      <x:c r="B177" s="2" t="s">
        <x:v>216</x:v>
      </x:c>
      <x:c r="C177" s="6">
        <x:v>19</x:v>
      </x:c>
      <x:c r="D177" s="6">
        <x:v>1067</x:v>
      </x:c>
      <x:c r="E177" s="2" t="s">
        <x:v>552</x:v>
      </x:c>
      <x:c r="F177" s="7">
        <x:v>0.81634615384615383</x:v>
      </x:c>
      <x:c r="G177" s="7">
        <x:v>0.9282990149730147</x:v>
      </x:c>
      <x:c r="H177" s="7">
        <x:v>0.86021505376344087</x:v>
      </x:c>
      <x:c r="I177" s="7">
        <x:v>-1.251432733456004</x:v>
      </x:c>
      <x:c r="J177" s="7">
        <x:v>0.46542897442690001</x:v>
      </x:c>
      <x:c r="K177" s="7">
        <x:v>2.475459527357509E-3</x:v>
      </x:c>
      <x:c r="L177" s="7">
        <x:v>0.44060634565439832</x:v>
      </x:c>
      <x:c r="M177" s="7">
        <x:v>4.4349016652302639E-3</x:v>
      </x:c>
    </x:row>
    <x:row r="178">
      <x:c r="A178" s="2" t="s">
        <x:v>216</x:v>
      </x:c>
      <x:c r="B178" s="2" t="s">
        <x:v>216</x:v>
      </x:c>
      <x:c r="C178" s="6">
        <x:v>19</x:v>
      </x:c>
      <x:c r="D178" s="6">
        <x:v>1068</x:v>
      </x:c>
      <x:c r="E178" s="2" t="s">
        <x:v>553</x:v>
      </x:c>
      <x:c r="F178" s="7">
        <x:v>0.88942307692307698</x:v>
      </x:c>
      <x:c r="G178" s="7">
        <x:v>0.95752988917032833</x:v>
      </x:c>
      <x:c r="H178" s="7">
        <x:v>0.89743589743589747</x:v>
      </x:c>
      <x:c r="I178" s="7">
        <x:v>-1.2414247496554209</x:v>
      </x:c>
      <x:c r="J178" s="7">
        <x:v>0.40544618812240851</x:v>
      </x:c>
      <x:c r="K178" s="7">
        <x:v>9.4457806291122597E-3</x:v>
      </x:c>
      <x:c r="L178" s="7">
        <x:v>0.37356659212781113</x:v>
      </x:c>
      <x:c r="M178" s="7">
        <x:v>1.7577551431638361E-2</x:v>
      </x:c>
    </x:row>
    <x:row r="179">
      <x:c r="A179" s="2" t="s">
        <x:v>216</x:v>
      </x:c>
      <x:c r="B179" s="2" t="s">
        <x:v>216</x:v>
      </x:c>
      <x:c r="C179" s="6">
        <x:v>19</x:v>
      </x:c>
      <x:c r="D179" s="6">
        <x:v>1069</x:v>
      </x:c>
      <x:c r="E179" s="2" t="s">
        <x:v>554</x:v>
      </x:c>
      <x:c r="F179" s="7">
        <x:v>0.77692307692307694</x:v>
      </x:c>
      <x:c r="G179" s="7">
        <x:v>0.8997933580480032</x:v>
      </x:c>
      <x:c r="H179" s="7">
        <x:v>0.86021505376344087</x:v>
      </x:c>
      <x:c r="I179" s="7">
        <x:v>-1.128753681863246</x:v>
      </x:c>
      <x:c r="J179" s="7">
        <x:v>0.59366522590278215</x:v>
      </x:c>
      <x:c r="K179" s="7">
        <x:v>5.3932970757000702E-5</x:v>
      </x:c>
      <x:c r="L179" s="7">
        <x:v>0.49591674202116698</x:v>
      </x:c>
      <x:c r="M179" s="7">
        <x:v>1.1372843801276411E-3</x:v>
      </x:c>
    </x:row>
    <x:row r="180">
      <x:c r="A180" s="2" t="s">
        <x:v>216</x:v>
      </x:c>
      <x:c r="B180" s="2" t="s">
        <x:v>216</x:v>
      </x:c>
      <x:c r="C180" s="6">
        <x:v>19</x:v>
      </x:c>
      <x:c r="D180" s="6">
        <x:v>1070</x:v>
      </x:c>
      <x:c r="E180" s="2" t="s">
        <x:v>555</x:v>
      </x:c>
      <x:c r="F180" s="7">
        <x:v>0.82115384615384623</x:v>
      </x:c>
      <x:c r="G180" s="7">
        <x:v>0.91396154970236931</x:v>
      </x:c>
      <x:c r="H180" s="7">
        <x:v>0.86021505376344087</x:v>
      </x:c>
      <x:c r="I180" s="7">
        <x:v>-1.104300330406206</x:v>
      </x:c>
      <x:c r="J180" s="7">
        <x:v>0.40286550079760841</x:v>
      </x:c>
      <x:c r="K180" s="7">
        <x:v>9.9546467486292256E-3</x:v>
      </x:c>
      <x:c r="L180" s="7">
        <x:v>0.29546581651684001</x:v>
      </x:c>
      <x:c r="M180" s="7">
        <x:v>6.4169383712733924E-2</x:v>
      </x:c>
    </x:row>
    <x:row r="181">
      <x:c r="A181" s="2" t="s">
        <x:v>216</x:v>
      </x:c>
      <x:c r="B181" s="2" t="s">
        <x:v>216</x:v>
      </x:c>
      <x:c r="C181" s="6">
        <x:v>19</x:v>
      </x:c>
      <x:c r="D181" s="6">
        <x:v>1071</x:v>
      </x:c>
      <x:c r="E181" s="2" t="s">
        <x:v>556</x:v>
      </x:c>
      <x:c r="F181" s="7">
        <x:v>0.85673076923076918</x:v>
      </x:c>
      <x:c r="G181" s="7">
        <x:v>0.9179641285814264</x:v>
      </x:c>
      <x:c r="H181" s="7">
        <x:v>0.90909090909090906</x:v>
      </x:c>
      <x:c r="I181" s="7">
        <x:v>-1.04389588876674</x:v>
      </x:c>
      <x:c r="J181" s="7">
        <x:v>0.54390112593275708</x:v>
      </x:c>
      <x:c r="K181" s="7">
        <x:v>2.861749100719362E-4</x:v>
      </x:c>
      <x:c r="L181" s="7">
        <x:v>0.42451609998250928</x:v>
      </x:c>
      <x:c r="M181" s="7">
        <x:v>6.3295626511111931E-3</x:v>
      </x:c>
    </x:row>
    <x:row r="182">
      <x:c r="A182" s="2" t="s">
        <x:v>216</x:v>
      </x:c>
      <x:c r="B182" s="2" t="s">
        <x:v>216</x:v>
      </x:c>
      <x:c r="C182" s="6">
        <x:v>21</x:v>
      </x:c>
      <x:c r="D182" s="6">
        <x:v>1042</x:v>
      </x:c>
      <x:c r="E182" s="2" t="s">
        <x:v>557</x:v>
      </x:c>
      <x:c r="F182" s="7">
        <x:v>0.80673076923076914</x:v>
      </x:c>
      <x:c r="G182" s="7">
        <x:v>0.92527017117320609</x:v>
      </x:c>
      <x:c r="H182" s="7">
        <x:v>0.86021505376344087</x:v>
      </x:c>
      <x:c r="I182" s="7">
        <x:v>-1.1155132042130449</x:v>
      </x:c>
      <x:c r="J182" s="7">
        <x:v>0.2356641527133565</x:v>
      </x:c>
      <x:c r="K182" s="7">
        <x:v>0.14321656371436561</x:v>
      </x:c>
      <x:c r="L182" s="7">
        <x:v>0.3192699908626529</x:v>
      </x:c>
      <x:c r="M182" s="7">
        <x:v>4.4631734407901913E-2</x:v>
      </x:c>
    </x:row>
    <x:row r="183">
      <x:c r="A183" s="2" t="s">
        <x:v>216</x:v>
      </x:c>
      <x:c r="B183" s="2" t="s">
        <x:v>216</x:v>
      </x:c>
      <x:c r="C183" s="6">
        <x:v>21</x:v>
      </x:c>
      <x:c r="D183" s="6">
        <x:v>1043</x:v>
      </x:c>
      <x:c r="E183" s="2" t="s">
        <x:v>558</x:v>
      </x:c>
      <x:c r="F183" s="7">
        <x:v>0.89903846153846145</x:v>
      </x:c>
      <x:c r="G183" s="7">
        <x:v>0.95738287855611559</x:v>
      </x:c>
      <x:c r="H183" s="7">
        <x:v>0.90909090909090906</x:v>
      </x:c>
      <x:c r="I183" s="7">
        <x:v>-1.41370433701772</x:v>
      </x:c>
      <x:c r="J183" s="7">
        <x:v>0.1965351441217886</x:v>
      </x:c>
      <x:c r="K183" s="7">
        <x:v>0.22418338623686751</x:v>
      </x:c>
      <x:c r="L183" s="7">
        <x:v>0.31577193771525969</x:v>
      </x:c>
      <x:c r="M183" s="7">
        <x:v>4.715561972299822E-2</x:v>
      </x:c>
    </x:row>
    <x:row r="184">
      <x:c r="A184" s="2" t="s">
        <x:v>216</x:v>
      </x:c>
      <x:c r="B184" s="2" t="s">
        <x:v>216</x:v>
      </x:c>
      <x:c r="C184" s="6">
        <x:v>21</x:v>
      </x:c>
      <x:c r="D184" s="6">
        <x:v>1044</x:v>
      </x:c>
      <x:c r="E184" s="2" t="s">
        <x:v>559</x:v>
      </x:c>
      <x:c r="F184" s="7">
        <x:v>0.84903846153846152</x:v>
      </x:c>
      <x:c r="G184" s="7">
        <x:v>0.93878557856055644</x:v>
      </x:c>
      <x:c r="H184" s="7">
        <x:v>0.86842105263157898</x:v>
      </x:c>
      <x:c r="I184" s="7">
        <x:v>-1.088096087119145</x:v>
      </x:c>
      <x:c r="J184" s="7">
        <x:v>0.43004434254735119</x:v>
      </x:c>
      <x:c r="K184" s="7">
        <x:v>5.6120189262569399E-3</x:v>
      </x:c>
      <x:c r="L184" s="7">
        <x:v>0.37626997408033369</x:v>
      </x:c>
      <x:c r="M184" s="7">
        <x:v>1.671307339326257E-2</x:v>
      </x:c>
    </x:row>
    <x:row r="185">
      <x:c r="A185" s="2" t="s">
        <x:v>216</x:v>
      </x:c>
      <x:c r="B185" s="2" t="s">
        <x:v>216</x:v>
      </x:c>
      <x:c r="C185" s="6">
        <x:v>21</x:v>
      </x:c>
      <x:c r="D185" s="6">
        <x:v>1045</x:v>
      </x:c>
      <x:c r="E185" s="2" t="s">
        <x:v>560</x:v>
      </x:c>
      <x:c r="F185" s="7">
        <x:v>0.75769230769230766</x:v>
      </x:c>
      <x:c r="G185" s="7">
        <x:v>0.89743802559751062</x:v>
      </x:c>
      <x:c r="H185" s="7">
        <x:v>0.86021505376344087</x:v>
      </x:c>
      <x:c r="I185" s="7">
        <x:v>-1.242208119821907</x:v>
      </x:c>
      <x:c r="J185" s="7">
        <x:v>0.26010892569144412</x:v>
      </x:c>
      <x:c r="K185" s="7">
        <x:v>0.1050290938655922</x:v>
      </x:c>
      <x:c r="L185" s="7">
        <x:v>0.215957791371307</x:v>
      </x:c>
      <x:c r="M185" s="7">
        <x:v>0.1807718322256899</x:v>
      </x:c>
    </x:row>
    <x:row r="186">
      <x:c r="A186" s="2" t="s">
        <x:v>216</x:v>
      </x:c>
      <x:c r="B186" s="2" t="s">
        <x:v>216</x:v>
      </x:c>
      <x:c r="C186" s="6">
        <x:v>21</x:v>
      </x:c>
      <x:c r="D186" s="6">
        <x:v>1046</x:v>
      </x:c>
      <x:c r="E186" s="2" t="s">
        <x:v>561</x:v>
      </x:c>
      <x:c r="F186" s="7">
        <x:v>0.92307692307692313</x:v>
      </x:c>
      <x:c r="G186" s="7">
        <x:v>0.96565677260755656</x:v>
      </x:c>
      <x:c r="H186" s="7">
        <x:v>0.92105263157894735</x:v>
      </x:c>
      <x:c r="I186" s="7">
        <x:v>-1.40763230688477</x:v>
      </x:c>
      <x:c r="J186" s="7">
        <x:v>0.42666685475410471</x:v>
      </x:c>
      <x:c r="K186" s="7">
        <x:v>6.0415064327098023E-3</x:v>
      </x:c>
      <x:c r="L186" s="7">
        <x:v>0.35477035193842149</x:v>
      </x:c>
      <x:c r="M186" s="7">
        <x:v>2.4688697526454719E-2</x:v>
      </x:c>
    </x:row>
    <x:row r="187">
      <x:c r="A187" s="2" t="s">
        <x:v>216</x:v>
      </x:c>
      <x:c r="B187" s="2" t="s">
        <x:v>216</x:v>
      </x:c>
      <x:c r="C187" s="6">
        <x:v>21</x:v>
      </x:c>
      <x:c r="D187" s="6">
        <x:v>1047</x:v>
      </x:c>
      <x:c r="E187" s="2" t="s">
        <x:v>562</x:v>
      </x:c>
      <x:c r="F187" s="7">
        <x:v>0.76057692307692304</x:v>
      </x:c>
      <x:c r="G187" s="7">
        <x:v>0.89499797096827671</x:v>
      </x:c>
      <x:c r="H187" s="7">
        <x:v>0.86021505376344087</x:v>
      </x:c>
      <x:c r="I187" s="7">
        <x:v>-1.015358964384192</x:v>
      </x:c>
      <x:c r="J187" s="7">
        <x:v>0.31401818164965789</x:v>
      </x:c>
      <x:c r="K187" s="7">
        <x:v>4.846364984909695E-2</x:v>
      </x:c>
      <x:c r="L187" s="7">
        <x:v>0.25925857041982392</x:v>
      </x:c>
      <x:c r="M187" s="7">
        <x:v>0.1062115763295321</x:v>
      </x:c>
    </x:row>
    <x:row r="188">
      <x:c r="A188" s="2" t="s">
        <x:v>216</x:v>
      </x:c>
      <x:c r="B188" s="2" t="s">
        <x:v>216</x:v>
      </x:c>
      <x:c r="C188" s="6">
        <x:v>21</x:v>
      </x:c>
      <x:c r="D188" s="6">
        <x:v>1048</x:v>
      </x:c>
      <x:c r="E188" s="2" t="s">
        <x:v>563</x:v>
      </x:c>
      <x:c r="F188" s="7">
        <x:v>0.8403846153846154</x:v>
      </x:c>
      <x:c r="G188" s="7">
        <x:v>0.93201839232176276</x:v>
      </x:c>
      <x:c r="H188" s="7">
        <x:v>0.86021505376344087</x:v>
      </x:c>
      <x:c r="I188" s="7">
        <x:v>-1.43477974708814</x:v>
      </x:c>
      <x:c r="J188" s="7">
        <x:v>0.52046017031178626</x:v>
      </x:c>
      <x:c r="K188" s="7">
        <x:v>5.7598595156334428E-4</x:v>
      </x:c>
      <x:c r="L188" s="7">
        <x:v>0.51960258568748718</x:v>
      </x:c>
      <x:c r="M188" s="7">
        <x:v>5.9035529034107311E-4</x:v>
      </x:c>
    </x:row>
    <x:row r="189">
      <x:c r="A189" s="2" t="s">
        <x:v>216</x:v>
      </x:c>
      <x:c r="B189" s="2" t="s">
        <x:v>216</x:v>
      </x:c>
      <x:c r="C189" s="6">
        <x:v>21</x:v>
      </x:c>
      <x:c r="D189" s="6">
        <x:v>1049</x:v>
      </x:c>
      <x:c r="E189" s="2" t="s">
        <x:v>564</x:v>
      </x:c>
      <x:c r="F189" s="7">
        <x:v>0.83365384615384597</x:v>
      </x:c>
      <x:c r="G189" s="7">
        <x:v>0.93194879421899757</x:v>
      </x:c>
      <x:c r="H189" s="7">
        <x:v>0.86021505376344087</x:v>
      </x:c>
      <x:c r="I189" s="7">
        <x:v>-1.1029357440290539</x:v>
      </x:c>
      <x:c r="J189" s="7">
        <x:v>0.2492492760082817</x:v>
      </x:c>
      <x:c r="K189" s="7">
        <x:v>0.12090248397516221</x:v>
      </x:c>
      <x:c r="L189" s="7">
        <x:v>0.17410492365390001</x:v>
      </x:c>
      <x:c r="M189" s="7">
        <x:v>0.28262029591759469</x:v>
      </x:c>
    </x:row>
    <x:row r="190">
      <x:c r="A190" s="2" t="s">
        <x:v>216</x:v>
      </x:c>
      <x:c r="B190" s="2" t="s">
        <x:v>216</x:v>
      </x:c>
      <x:c r="C190" s="6">
        <x:v>21</x:v>
      </x:c>
      <x:c r="D190" s="6">
        <x:v>1050</x:v>
      </x:c>
      <x:c r="E190" s="2" t="s">
        <x:v>565</x:v>
      </x:c>
      <x:c r="F190" s="7">
        <x:v>0.82788461538461533</x:v>
      </x:c>
      <x:c r="G190" s="7">
        <x:v>0.92373636645478563</x:v>
      </x:c>
      <x:c r="H190" s="7">
        <x:v>0.86021505376344087</x:v>
      </x:c>
      <x:c r="I190" s="7">
        <x:v>-1.381163341423191</x:v>
      </x:c>
      <x:c r="J190" s="7">
        <x:v>0.3539847275827015</x:v>
      </x:c>
      <x:c r="K190" s="7">
        <x:v>2.5031561959530879E-2</x:v>
      </x:c>
      <x:c r="L190" s="7">
        <x:v>0.32780271051685428</x:v>
      </x:c>
      <x:c r="M190" s="7">
        <x:v>3.8931849196247287E-2</x:v>
      </x:c>
    </x:row>
    <x:row r="191">
      <x:c r="A191" s="2" t="s">
        <x:v>216</x:v>
      </x:c>
      <x:c r="B191" s="2" t="s">
        <x:v>216</x:v>
      </x:c>
      <x:c r="C191" s="6">
        <x:v>21</x:v>
      </x:c>
      <x:c r="D191" s="6">
        <x:v>1051</x:v>
      </x:c>
      <x:c r="E191" s="2" t="s">
        <x:v>566</x:v>
      </x:c>
      <x:c r="F191" s="7">
        <x:v>0.93269230769230771</x:v>
      </x:c>
      <x:c r="G191" s="7">
        <x:v>0.9754181563362524</x:v>
      </x:c>
      <x:c r="H191" s="7">
        <x:v>0.93670886075949367</x:v>
      </x:c>
      <x:c r="I191" s="7">
        <x:v>-1.252251911198609</x:v>
      </x:c>
      <x:c r="J191" s="7">
        <x:v>-9.1476287437752241E-2</x:v>
      </x:c>
      <x:c r="K191" s="7">
        <x:v>0.57453828062849288</x:v>
      </x:c>
      <x:c r="L191" s="7">
        <x:v>7.7624619190375471E-2</x:v>
      </x:c>
      <x:c r="M191" s="7">
        <x:v>0.63400817130066423</x:v>
      </x:c>
    </x:row>
    <x:row r="192">
      <x:c r="A192" s="2" t="s">
        <x:v>216</x:v>
      </x:c>
      <x:c r="B192" s="2" t="s">
        <x:v>216</x:v>
      </x:c>
      <x:c r="C192" s="6">
        <x:v>21</x:v>
      </x:c>
      <x:c r="D192" s="6">
        <x:v>1052</x:v>
      </x:c>
      <x:c r="E192" s="2" t="s">
        <x:v>567</x:v>
      </x:c>
      <x:c r="F192" s="7">
        <x:v>0.77115384615384619</x:v>
      </x:c>
      <x:c r="G192" s="7">
        <x:v>0.89475201160013074</x:v>
      </x:c>
      <x:c r="H192" s="7">
        <x:v>0.88888888888888884</x:v>
      </x:c>
      <x:c r="I192" s="7">
        <x:v>-1.3069188797989859</x:v>
      </x:c>
      <x:c r="J192" s="7">
        <x:v>0.5189149716898539</x:v>
      </x:c>
      <x:c r="K192" s="7">
        <x:v>6.0210698974832685E-4</x:v>
      </x:c>
      <x:c r="L192" s="7">
        <x:v>0.46787665469861828</x:v>
      </x:c>
      <x:c r="M192" s="7">
        <x:v>2.3316314061758831E-3</x:v>
      </x:c>
    </x:row>
    <x:row r="193">
      <x:c r="A193" s="2" t="s">
        <x:v>216</x:v>
      </x:c>
      <x:c r="B193" s="2" t="s">
        <x:v>216</x:v>
      </x:c>
      <x:c r="C193" s="6">
        <x:v>21</x:v>
      </x:c>
      <x:c r="D193" s="6">
        <x:v>1053</x:v>
      </x:c>
      <x:c r="E193" s="2" t="s">
        <x:v>568</x:v>
      </x:c>
      <x:c r="F193" s="7">
        <x:v>0.81057692307692308</x:v>
      </x:c>
      <x:c r="G193" s="7">
        <x:v>0.91841698253746429</x:v>
      </x:c>
      <x:c r="H193" s="7">
        <x:v>0.88607594936708856</x:v>
      </x:c>
      <x:c r="I193" s="7">
        <x:v>-1.284565301983269</x:v>
      </x:c>
      <x:c r="J193" s="7">
        <x:v>0.52488286049195532</x:v>
      </x:c>
      <x:c r="K193" s="7">
        <x:v>5.0672438064836727E-4</x:v>
      </x:c>
      <x:c r="L193" s="7">
        <x:v>0.38764858339266228</x:v>
      </x:c>
      <x:c r="M193" s="7">
        <x:v>1.3456501066160221E-2</x:v>
      </x:c>
    </x:row>
    <x:row r="194">
      <x:c r="A194" s="2" t="s">
        <x:v>216</x:v>
      </x:c>
      <x:c r="B194" s="2" t="s">
        <x:v>216</x:v>
      </x:c>
      <x:c r="C194" s="6">
        <x:v>21</x:v>
      </x:c>
      <x:c r="D194" s="6">
        <x:v>1054</x:v>
      </x:c>
      <x:c r="E194" s="2" t="s">
        <x:v>569</x:v>
      </x:c>
      <x:c r="F194" s="7">
        <x:v>0.71346153846153848</x:v>
      </x:c>
      <x:c r="G194" s="7">
        <x:v>0.87909810022008439</x:v>
      </x:c>
      <x:c r="H194" s="7">
        <x:v>0.86021505376344087</x:v>
      </x:c>
      <x:c r="I194" s="7">
        <x:v>-1.08343271252206</x:v>
      </x:c>
      <x:c r="J194" s="7">
        <x:v>0.56425980138823051</x:v>
      </x:c>
      <x:c r="K194" s="7">
        <x:v>1.49301310138729E-4</x:v>
      </x:c>
      <x:c r="L194" s="7">
        <x:v>0.44829559278999692</x:v>
      </x:c>
      <x:c r="M194" s="7">
        <x:v>3.7189792106403692E-3</x:v>
      </x:c>
    </x:row>
    <x:row r="195">
      <x:c r="A195" s="2" t="s">
        <x:v>216</x:v>
      </x:c>
      <x:c r="B195" s="2" t="s">
        <x:v>216</x:v>
      </x:c>
      <x:c r="C195" s="6">
        <x:v>21</x:v>
      </x:c>
      <x:c r="D195" s="6">
        <x:v>1055</x:v>
      </x:c>
      <x:c r="E195" s="2" t="s">
        <x:v>570</x:v>
      </x:c>
      <x:c r="F195" s="7">
        <x:v>0.88461538461538458</x:v>
      </x:c>
      <x:c r="G195" s="7">
        <x:v>0.95490368703166018</x:v>
      </x:c>
      <x:c r="H195" s="7">
        <x:v>0.91139240506329111</x:v>
      </x:c>
      <x:c r="I195" s="7">
        <x:v>-1.1863038484347219</x:v>
      </x:c>
      <x:c r="J195" s="7">
        <x:v>0.27642204496121842</x:v>
      </x:c>
      <x:c r="K195" s="7">
        <x:v>8.4233834954702491E-2</x:v>
      </x:c>
      <x:c r="L195" s="7">
        <x:v>0.29287728603932162</x:v>
      </x:c>
      <x:c r="M195" s="7">
        <x:v>6.6649528425597182E-2</x:v>
      </x:c>
    </x:row>
    <x:row r="196">
      <x:c r="A196" s="2" t="s">
        <x:v>216</x:v>
      </x:c>
      <x:c r="B196" s="2" t="s">
        <x:v>216</x:v>
      </x:c>
      <x:c r="C196" s="6">
        <x:v>21</x:v>
      </x:c>
      <x:c r="D196" s="6">
        <x:v>1056</x:v>
      </x:c>
      <x:c r="E196" s="2" t="s">
        <x:v>571</x:v>
      </x:c>
      <x:c r="F196" s="7">
        <x:v>0.78269230769230769</x:v>
      </x:c>
      <x:c r="G196" s="7">
        <x:v>0.91611147212657218</x:v>
      </x:c>
      <x:c r="H196" s="7">
        <x:v>0.86021505376344087</x:v>
      </x:c>
      <x:c r="I196" s="7">
        <x:v>-1.3315528204856391</x:v>
      </x:c>
      <x:c r="J196" s="7">
        <x:v>0.44622273863618422</x:v>
      </x:c>
      <x:c r="K196" s="7">
        <x:v>3.9012812117175028E-3</x:v>
      </x:c>
      <x:c r="L196" s="7">
        <x:v>0.40262504717198211</x:v>
      </x:c>
      <x:c r="M196" s="7">
        <x:v>1.0003231270636761E-2</x:v>
      </x:c>
    </x:row>
    <x:row r="197">
      <x:c r="A197" s="2" t="s">
        <x:v>216</x:v>
      </x:c>
      <x:c r="B197" s="2" t="s">
        <x:v>216</x:v>
      </x:c>
      <x:c r="C197" s="6">
        <x:v>21</x:v>
      </x:c>
      <x:c r="D197" s="6">
        <x:v>1057</x:v>
      </x:c>
      <x:c r="E197" s="2" t="s">
        <x:v>572</x:v>
      </x:c>
      <x:c r="F197" s="7">
        <x:v>0.78942307692307689</x:v>
      </x:c>
      <x:c r="G197" s="7">
        <x:v>0.91834743023929866</x:v>
      </x:c>
      <x:c r="H197" s="7">
        <x:v>0.86021505376344087</x:v>
      </x:c>
      <x:c r="I197" s="7">
        <x:v>-0.93239440413305719</x:v>
      </x:c>
      <x:c r="J197" s="7">
        <x:v>0.69940800673885395</x:v>
      </x:c>
      <x:c r="K197" s="7">
        <x:v>5.1401620840828439E-7</x:v>
      </x:c>
      <x:c r="L197" s="7">
        <x:v>0.46099118852273668</x:v>
      </x:c>
      <x:c r="M197" s="7">
        <x:v>2.7561808070173479E-3</x:v>
      </x:c>
    </x:row>
    <x:row r="198">
      <x:c r="A198" s="2" t="s">
        <x:v>216</x:v>
      </x:c>
      <x:c r="B198" s="2" t="s">
        <x:v>216</x:v>
      </x:c>
      <x:c r="C198" s="6">
        <x:v>21</x:v>
      </x:c>
      <x:c r="D198" s="6">
        <x:v>1058</x:v>
      </x:c>
      <x:c r="E198" s="2" t="s">
        <x:v>573</x:v>
      </x:c>
      <x:c r="F198" s="7">
        <x:v>0.86923076923076914</x:v>
      </x:c>
      <x:c r="G198" s="7">
        <x:v>0.94715490339889519</x:v>
      </x:c>
      <x:c r="H198" s="7">
        <x:v>0.88</x:v>
      </x:c>
      <x:c r="I198" s="7">
        <x:v>-1.284862195279965</x:v>
      </x:c>
      <x:c r="J198" s="7">
        <x:v>0.40718765504975579</x:v>
      </x:c>
      <x:c r="K198" s="7">
        <x:v>9.1151177247302921E-3</x:v>
      </x:c>
      <x:c r="L198" s="7">
        <x:v>0.39453939363360019</x:v>
      </x:c>
      <x:c r="M198" s="7">
        <x:v>1.1759218445434009E-2</x:v>
      </x:c>
    </x:row>
    <x:row r="199">
      <x:c r="A199" s="2" t="s">
        <x:v>216</x:v>
      </x:c>
      <x:c r="B199" s="2" t="s">
        <x:v>216</x:v>
      </x:c>
      <x:c r="C199" s="6">
        <x:v>21</x:v>
      </x:c>
      <x:c r="D199" s="6">
        <x:v>1059</x:v>
      </x:c>
      <x:c r="E199" s="2" t="s">
        <x:v>574</x:v>
      </x:c>
      <x:c r="F199" s="7">
        <x:v>0.79807692307692302</x:v>
      </x:c>
      <x:c r="G199" s="7">
        <x:v>0.90959476099849645</x:v>
      </x:c>
      <x:c r="H199" s="7">
        <x:v>0.86021505376344087</x:v>
      </x:c>
      <x:c r="I199" s="7">
        <x:v>-1.431855017467389</x:v>
      </x:c>
      <x:c r="J199" s="7">
        <x:v>0.37341992318025918</x:v>
      </x:c>
      <x:c r="K199" s="7">
        <x:v>1.76255086843328E-2</x:v>
      </x:c>
      <x:c r="L199" s="7">
        <x:v>0.35797288521027948</x:v>
      </x:c>
      <x:c r="M199" s="7">
        <x:v>2.3331169874700498E-2</x:v>
      </x:c>
    </x:row>
    <x:row r="200">
      <x:c r="A200" s="2" t="s">
        <x:v>216</x:v>
      </x:c>
      <x:c r="B200" s="2" t="s">
        <x:v>216</x:v>
      </x:c>
      <x:c r="C200" s="6">
        <x:v>21</x:v>
      </x:c>
      <x:c r="D200" s="6">
        <x:v>1060</x:v>
      </x:c>
      <x:c r="E200" s="2" t="s">
        <x:v>575</x:v>
      </x:c>
      <x:c r="F200" s="7">
        <x:v>0.91346153846153844</x:v>
      </x:c>
      <x:c r="G200" s="7">
        <x:v>0.96320754716981138</x:v>
      </x:c>
      <x:c r="H200" s="7">
        <x:v>0.91891891891891897</x:v>
      </x:c>
      <x:c r="I200" s="7">
        <x:v>-1.1927483175266871</x:v>
      </x:c>
      <x:c r="J200" s="7">
        <x:v>0.35001221855790993</x:v>
      </x:c>
      <x:c r="K200" s="7">
        <x:v>2.6826397721731329E-2</x:v>
      </x:c>
      <x:c r="L200" s="7">
        <x:v>0.3756925750858735</x:v>
      </x:c>
      <x:c r="M200" s="7">
        <x:v>1.689463950766875E-2</x:v>
      </x:c>
    </x:row>
    <x:row r="201">
      <x:c r="A201" s="2" t="s">
        <x:v>216</x:v>
      </x:c>
      <x:c r="B201" s="2" t="s">
        <x:v>216</x:v>
      </x:c>
      <x:c r="C201" s="6">
        <x:v>21</x:v>
      </x:c>
      <x:c r="D201" s="6">
        <x:v>1061</x:v>
      </x:c>
      <x:c r="E201" s="2" t="s">
        <x:v>576</x:v>
      </x:c>
      <x:c r="F201" s="7">
        <x:v>0.86250000000000004</x:v>
      </x:c>
      <x:c r="G201" s="7">
        <x:v>0.95131373904544092</x:v>
      </x:c>
      <x:c r="H201" s="7">
        <x:v>0.86842105263157898</x:v>
      </x:c>
      <x:c r="I201" s="7">
        <x:v>-1.1160184361129191</x:v>
      </x:c>
      <x:c r="J201" s="7">
        <x:v>0.35729394332699738</x:v>
      </x:c>
      <x:c r="K201" s="7">
        <x:v>2.361364957775965E-2</x:v>
      </x:c>
      <x:c r="L201" s="7">
        <x:v>0.2899376956973666</x:v>
      </x:c>
      <x:c r="M201" s="7">
        <x:v>6.9557247891591373E-2</x:v>
      </x:c>
    </x:row>
    <x:row r="202">
      <x:c r="A202" s="2" t="s">
        <x:v>216</x:v>
      </x:c>
      <x:c r="B202" s="2" t="s">
        <x:v>216</x:v>
      </x:c>
      <x:c r="C202" s="6">
        <x:v>21</x:v>
      </x:c>
      <x:c r="D202" s="6">
        <x:v>1062</x:v>
      </x:c>
      <x:c r="E202" s="2" t="s">
        <x:v>577</x:v>
      </x:c>
      <x:c r="F202" s="7">
        <x:v>0.8288461538461539</x:v>
      </x:c>
      <x:c r="G202" s="7">
        <x:v>0.91416097013824205</x:v>
      </x:c>
      <x:c r="H202" s="7">
        <x:v>0.88311688311688308</x:v>
      </x:c>
      <x:c r="I202" s="7">
        <x:v>-1.005319108630742</x:v>
      </x:c>
      <x:c r="J202" s="7">
        <x:v>0.37737321411804908</x:v>
      </x:c>
      <x:c r="K202" s="7">
        <x:v>1.637072330408201E-2</x:v>
      </x:c>
      <x:c r="L202" s="7">
        <x:v>0.27541427115035172</x:v>
      </x:c>
      <x:c r="M202" s="7">
        <x:v>8.5417770044511496E-2</x:v>
      </x:c>
    </x:row>
    <x:row r="203">
      <x:c r="A203" s="2" t="s">
        <x:v>216</x:v>
      </x:c>
      <x:c r="B203" s="2" t="s">
        <x:v>216</x:v>
      </x:c>
      <x:c r="C203" s="6">
        <x:v>21</x:v>
      </x:c>
      <x:c r="D203" s="6">
        <x:v>1063</x:v>
      </x:c>
      <x:c r="E203" s="2" t="s">
        <x:v>578</x:v>
      </x:c>
      <x:c r="F203" s="7">
        <x:v>0.77500000000000002</x:v>
      </x:c>
      <x:c r="G203" s="7">
        <x:v>0.91359617744058519</x:v>
      </x:c>
      <x:c r="H203" s="7">
        <x:v>0.86021505376344087</x:v>
      </x:c>
      <x:c r="I203" s="7">
        <x:v>-1.3692719111827449</x:v>
      </x:c>
      <x:c r="J203" s="7">
        <x:v>0.27025477042002111</x:v>
      </x:c>
      <x:c r="K203" s="7">
        <x:v>9.1682592103471433E-2</x:v>
      </x:c>
      <x:c r="L203" s="7">
        <x:v>0.26474881789657079</x:v>
      </x:c>
      <x:c r="M203" s="7">
        <x:v>9.8752839018772021E-2</x:v>
      </x:c>
    </x:row>
    <x:row r="204">
      <x:c r="A204" s="2" t="s">
        <x:v>216</x:v>
      </x:c>
      <x:c r="B204" s="2" t="s">
        <x:v>216</x:v>
      </x:c>
      <x:c r="C204" s="6">
        <x:v>21</x:v>
      </x:c>
      <x:c r="D204" s="6">
        <x:v>1064</x:v>
      </x:c>
      <x:c r="E204" s="2" t="s">
        <x:v>579</x:v>
      </x:c>
      <x:c r="F204" s="7">
        <x:v>0.84326923076923088</x:v>
      </x:c>
      <x:c r="G204" s="7">
        <x:v>0.93793868829204452</x:v>
      </x:c>
      <x:c r="H204" s="7">
        <x:v>0.88311688311688308</x:v>
      </x:c>
      <x:c r="I204" s="7">
        <x:v>-1.3409160543864671</x:v>
      </x:c>
      <x:c r="J204" s="7">
        <x:v>0.4617271979862031</x:v>
      </x:c>
      <x:c r="K204" s="7">
        <x:v>2.707777597083337E-3</x:v>
      </x:c>
      <x:c r="L204" s="7">
        <x:v>0.48166488252694428</x:v>
      </x:c>
      <x:c r="M204" s="7">
        <x:v>1.650509233043462E-3</x:v>
      </x:c>
    </x:row>
    <x:row r="205">
      <x:c r="A205" s="2" t="s">
        <x:v>216</x:v>
      </x:c>
      <x:c r="B205" s="2" t="s">
        <x:v>216</x:v>
      </x:c>
      <x:c r="C205" s="6">
        <x:v>21</x:v>
      </x:c>
      <x:c r="D205" s="6">
        <x:v>1065</x:v>
      </x:c>
      <x:c r="E205" s="2" t="s">
        <x:v>580</x:v>
      </x:c>
      <x:c r="F205" s="7">
        <x:v>0.95</x:v>
      </x:c>
      <x:c r="G205" s="7">
        <x:v>0.97547169811320766</x:v>
      </x:c>
      <x:c r="H205" s="7">
        <x:v>0.94736842105263153</x:v>
      </x:c>
      <x:c r="I205" s="7">
        <x:v>-1.198770010393009</x:v>
      </x:c>
      <x:c r="J205" s="7">
        <x:v>0.28112688449247131</x:v>
      </x:c>
      <x:c r="K205" s="7">
        <x:v>7.8874389395525851E-2</x:v>
      </x:c>
      <x:c r="L205" s="7">
        <x:v>0.20207158568165329</x:v>
      </x:c>
      <x:c r="M205" s="7">
        <x:v>0.21114087680935681</x:v>
      </x:c>
    </x:row>
    <x:row r="206">
      <x:c r="A206" s="2" t="s">
        <x:v>216</x:v>
      </x:c>
      <x:c r="B206" s="2" t="s">
        <x:v>216</x:v>
      </x:c>
      <x:c r="C206" s="6">
        <x:v>21</x:v>
      </x:c>
      <x:c r="D206" s="6">
        <x:v>1066</x:v>
      </x:c>
      <x:c r="E206" s="2" t="s">
        <x:v>581</x:v>
      </x:c>
      <x:c r="F206" s="7">
        <x:v>0.91538461538461524</x:v>
      </x:c>
      <x:c r="G206" s="7">
        <x:v>0.96583099696150354</x:v>
      </x:c>
      <x:c r="H206" s="7">
        <x:v>0.93506493506493504</x:v>
      </x:c>
      <x:c r="I206" s="7">
        <x:v>-1.266290143286261</x:v>
      </x:c>
      <x:c r="J206" s="7">
        <x:v>0.51234168006174075</x:v>
      </x:c>
      <x:c r="K206" s="7">
        <x:v>7.2543951582043956E-4</x:v>
      </x:c>
      <x:c r="L206" s="7">
        <x:v>0.37234699214623251</x:v>
      </x:c>
      <x:c r="M206" s="7">
        <x:v>1.7979689823161539E-2</x:v>
      </x:c>
    </x:row>
    <x:row r="207">
      <x:c r="A207" s="2" t="s">
        <x:v>216</x:v>
      </x:c>
      <x:c r="B207" s="2" t="s">
        <x:v>216</x:v>
      </x:c>
      <x:c r="C207" s="6">
        <x:v>21</x:v>
      </x:c>
      <x:c r="D207" s="6">
        <x:v>1067</x:v>
      </x:c>
      <x:c r="E207" s="2" t="s">
        <x:v>582</x:v>
      </x:c>
      <x:c r="F207" s="7">
        <x:v>0.83269230769230762</x:v>
      </x:c>
      <x:c r="G207" s="7">
        <x:v>0.93189795838179579</x:v>
      </x:c>
      <x:c r="H207" s="7">
        <x:v>0.86021505376344087</x:v>
      </x:c>
      <x:c r="I207" s="7">
        <x:v>-1.2530770972761991</x:v>
      </x:c>
      <x:c r="J207" s="7">
        <x:v>0.46750467631974241</x:v>
      </x:c>
      <x:c r="K207" s="7">
        <x:v>2.3530045654764102E-3</x:v>
      </x:c>
      <x:c r="L207" s="7">
        <x:v>0.43606975454781632</x:v>
      </x:c>
      <x:c r="M207" s="7">
        <x:v>4.9111897646064388E-3</x:v>
      </x:c>
    </x:row>
    <x:row r="208">
      <x:c r="A208" s="2" t="s">
        <x:v>216</x:v>
      </x:c>
      <x:c r="B208" s="2" t="s">
        <x:v>216</x:v>
      </x:c>
      <x:c r="C208" s="6">
        <x:v>21</x:v>
      </x:c>
      <x:c r="D208" s="6">
        <x:v>1068</x:v>
      </x:c>
      <x:c r="E208" s="2" t="s">
        <x:v>583</x:v>
      </x:c>
      <x:c r="F208" s="7">
        <x:v>0.87692307692307692</x:v>
      </x:c>
      <x:c r="G208" s="7">
        <x:v>0.9549272351449769</x:v>
      </x:c>
      <x:c r="H208" s="7">
        <x:v>0.875</x:v>
      </x:c>
      <x:c r="I208" s="7">
        <x:v>-1.420712269182675</x:v>
      </x:c>
      <x:c r="J208" s="7">
        <x:v>0.51737112009135489</x:v>
      </x:c>
      <x:c r="K208" s="7">
        <x:v>6.2925636022170893E-4</x:v>
      </x:c>
      <x:c r="L208" s="7">
        <x:v>0.46023182612852942</x:v>
      </x:c>
      <x:c r="M208" s="7">
        <x:v>2.8069129339802611E-3</x:v>
      </x:c>
    </x:row>
    <x:row r="209">
      <x:c r="A209" s="2" t="s">
        <x:v>216</x:v>
      </x:c>
      <x:c r="B209" s="2" t="s">
        <x:v>216</x:v>
      </x:c>
      <x:c r="C209" s="6">
        <x:v>21</x:v>
      </x:c>
      <x:c r="D209" s="6">
        <x:v>1069</x:v>
      </x:c>
      <x:c r="E209" s="2" t="s">
        <x:v>584</x:v>
      </x:c>
      <x:c r="F209" s="7">
        <x:v>0.75384615384615383</x:v>
      </x:c>
      <x:c r="G209" s="7">
        <x:v>0.8790127744631745</x:v>
      </x:c>
      <x:c r="H209" s="7">
        <x:v>0.86021505376344087</x:v>
      </x:c>
      <x:c r="I209" s="7">
        <x:v>-1.0184721473801439</x:v>
      </x:c>
      <x:c r="J209" s="7">
        <x:v>0.59731433808591272</x:v>
      </x:c>
      <x:c r="K209" s="7">
        <x:v>4.7199744072774362E-5</x:v>
      </x:c>
      <x:c r="L209" s="7">
        <x:v>0.48115115163965039</x:v>
      </x:c>
      <x:c r="M209" s="7">
        <x:v>1.672322541673857E-3</x:v>
      </x:c>
    </x:row>
    <x:row r="210">
      <x:c r="A210" s="2" t="s">
        <x:v>216</x:v>
      </x:c>
      <x:c r="B210" s="2" t="s">
        <x:v>216</x:v>
      </x:c>
      <x:c r="C210" s="6">
        <x:v>21</x:v>
      </x:c>
      <x:c r="D210" s="6">
        <x:v>1070</x:v>
      </x:c>
      <x:c r="E210" s="2" t="s">
        <x:v>585</x:v>
      </x:c>
      <x:c r="F210" s="7">
        <x:v>0.82115384615384623</x:v>
      </x:c>
      <x:c r="G210" s="7">
        <x:v>0.9140210735118931</x:v>
      </x:c>
      <x:c r="H210" s="7">
        <x:v>0.86021505376344087</x:v>
      </x:c>
      <x:c r="I210" s="7">
        <x:v>-1.1068867710659021</x:v>
      </x:c>
      <x:c r="J210" s="7">
        <x:v>0.38231397278094309</x:v>
      </x:c>
      <x:c r="K210" s="7">
        <x:v>1.4909164478072079E-2</x:v>
      </x:c>
      <x:c r="L210" s="7">
        <x:v>0.29080847962591327</x:v>
      </x:c>
      <x:c r="M210" s="7">
        <x:v>6.8685675869241666E-2</x:v>
      </x:c>
    </x:row>
    <x:row r="211">
      <x:c r="A211" s="2" t="s">
        <x:v>216</x:v>
      </x:c>
      <x:c r="B211" s="2" t="s">
        <x:v>216</x:v>
      </x:c>
      <x:c r="C211" s="6">
        <x:v>21</x:v>
      </x:c>
      <x:c r="D211" s="6">
        <x:v>1071</x:v>
      </x:c>
      <x:c r="E211" s="2" t="s">
        <x:v>586</x:v>
      </x:c>
      <x:c r="F211" s="7">
        <x:v>0.86249999999999993</x:v>
      </x:c>
      <x:c r="G211" s="7">
        <x:v>0.92632536990776781</x:v>
      </x:c>
      <x:c r="H211" s="7">
        <x:v>0.90909090909090906</x:v>
      </x:c>
      <x:c r="I211" s="7">
        <x:v>-0.98776071183562886</x:v>
      </x:c>
      <x:c r="J211" s="7">
        <x:v>0.51079834724082951</x:v>
      </x:c>
      <x:c r="K211" s="7">
        <x:v>7.5747330913271621E-4</x:v>
      </x:c>
      <x:c r="L211" s="7">
        <x:v>0.38420484029206348</x:v>
      </x:c>
      <x:c r="M211" s="7">
        <x:v>1.4379793242885641E-2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4.399999618530273"/>
  <x:cols>
    <x:col min="1" max="1" width="24" customWidth="1"/>
    <x:col min="2" max="2" width="16" customWidth="1"/>
    <x:col min="3" max="3" width="50" customWidth="1"/>
  </x:cols>
  <x:sheetData>
    <x:row r="1" ht="28.799999237060547">
      <x:c r="A1" s="5" t="s">
        <x:v>587</x:v>
      </x:c>
      <x:c r="B1" s="5" t="s">
        <x:v>588</x:v>
      </x:c>
      <x:c r="C1" s="5" t="s">
        <x:v>589</x:v>
      </x:c>
      <x:c r="D1" s="5"/>
      <x:c r="E1" s="5"/>
      <x:c r="F1" s="5" t="s">
        <x:v>590</x:v>
      </x:c>
      <x:c r="G1" s="5"/>
      <x:c r="H1" s="5"/>
      <x:c r="I1" s="5"/>
      <x:c r="J1" s="5"/>
      <x:c r="K1" s="5" t="s">
        <x:v>591</x:v>
      </x:c>
      <x:c r="L1" s="5"/>
      <x:c r="M1" s="5"/>
      <x:c r="N1" s="5"/>
      <x:c r="O1" s="5"/>
      <x:c r="P1" s="5"/>
    </x:row>
    <x:row r="2">
      <x:c r="A2" s="2" t="s">
        <x:v>592</x:v>
      </x:c>
      <x:c r="B2" s="2" t="s">
        <x:v>593</x:v>
      </x:c>
      <x:c r="C2" s="2" t="s">
        <x:v>594</x:v>
      </x:c>
      <x:c r="D2" s="2"/>
      <x:c r="E2" s="2"/>
      <x:c r="F2" s="8"/>
      <x:c r="G2" s="9">
        <x:v>3</x:v>
      </x:c>
      <x:c r="H2" s="9">
        <x:v>4</x:v>
      </x:c>
      <x:c r="I2" s="9">
        <x:v>5</x:v>
      </x:c>
      <x:c r="J2" s="9">
        <x:v>6</x:v>
      </x:c>
      <x:c r="K2" s="9">
        <x:v>7</x:v>
      </x:c>
      <x:c r="L2" s="9">
        <x:v>3</x:v>
      </x:c>
      <x:c r="M2" s="9">
        <x:v>4</x:v>
      </x:c>
      <x:c r="N2" s="9">
        <x:v>5</x:v>
      </x:c>
      <x:c r="O2" s="9">
        <x:v>6</x:v>
      </x:c>
      <x:c r="P2" s="7">
        <x:v>7</x:v>
      </x:c>
    </x:row>
    <x:row r="3">
      <x:c r="A3" s="2" t="s">
        <x:v>595</x:v>
      </x:c>
      <x:c r="B3" s="6">
        <x:v>5</x:v>
      </x:c>
      <x:c r="C3" s="2" t="s">
        <x:v>596</x:v>
      </x:c>
      <x:c r="D3" s="2"/>
      <x:c r="E3" s="2"/>
      <x:c r="F3" s="6">
        <x:v>3</x:v>
      </x:c>
      <x:c r="G3" s="7">
        <x:v>1</x:v>
      </x:c>
      <x:c r="H3" s="7">
        <x:v>0.77915376676986581</x:v>
      </x:c>
      <x:c r="I3" s="7">
        <x:v>0.64293085655314752</x:v>
      </x:c>
      <x:c r="J3" s="7">
        <x:v>0.78328173374612997</x:v>
      </x:c>
      <x:c r="K3" s="6">
        <x:v>3</x:v>
      </x:c>
      <x:c r="L3" s="7">
        <x:v>1</x:v>
      </x:c>
      <x:c r="M3" s="7">
        <x:v>0.42857142857142849</x:v>
      </x:c>
      <x:c r="N3" s="7">
        <x:v>0.25</x:v>
      </x:c>
      <x:c r="O3" s="7">
        <x:v>0.25</x:v>
      </x:c>
      <x:c r="P3" s="7">
        <x:v>0.42857142857142849</x:v>
      </x:c>
    </x:row>
    <x:row r="4">
      <x:c r="A4" s="2" t="s">
        <x:v>597</x:v>
      </x:c>
      <x:c r="B4" s="2" t="n">
        <x:f>KNN_Stability!C2</x:f>
        <x:v>11</x:v>
      </x:c>
      <x:c r="C4" s="2" t="s">
        <x:v>598</x:v>
      </x:c>
      <x:c r="D4" s="2"/>
      <x:c r="E4" s="2"/>
      <x:c r="F4" s="6">
        <x:v>4</x:v>
      </x:c>
      <x:c r="G4" s="7">
        <x:v>0.77915376676986581</x:v>
      </x:c>
      <x:c r="H4" s="7">
        <x:v>1</x:v>
      </x:c>
      <x:c r="I4" s="7">
        <x:v>0.88028895768833848</x:v>
      </x:c>
      <x:c r="J4" s="7">
        <x:v>0.73787409700722384</x:v>
      </x:c>
      <x:c r="K4" s="6">
        <x:v>4</x:v>
      </x:c>
      <x:c r="L4" s="7">
        <x:v>0.42857142857142849</x:v>
      </x:c>
      <x:c r="M4" s="7">
        <x:v>1</x:v>
      </x:c>
      <x:c r="N4" s="7">
        <x:v>0.42857142857142849</x:v>
      </x:c>
      <x:c r="O4" s="7">
        <x:v>0.25</x:v>
      </x:c>
      <x:c r="P4" s="7">
        <x:v>0.42857142857142849</x:v>
      </x:c>
    </x:row>
    <x:row r="5">
      <x:c r="A5" s="2" t="s">
        <x:v>599</x:v>
      </x:c>
      <x:c r="B5" s="2" t="n">
        <x:f>KNN_Stability!D2</x:f>
        <x:v>1</x:v>
      </x:c>
      <x:c r="C5" s="2" t="s">
        <x:v>600</x:v>
      </x:c>
      <x:c r="D5" s="2"/>
      <x:c r="E5" s="2"/>
      <x:c r="F5" s="6">
        <x:v>5</x:v>
      </x:c>
      <x:c r="G5" s="7">
        <x:v>0.64293085655314752</x:v>
      </x:c>
      <x:c r="H5" s="7">
        <x:v>0.88028895768833848</x:v>
      </x:c>
      <x:c r="I5" s="7">
        <x:v>1</x:v>
      </x:c>
      <x:c r="J5" s="7">
        <x:v>0.70278637770897823</x:v>
      </x:c>
      <x:c r="K5" s="6">
        <x:v>5</x:v>
      </x:c>
      <x:c r="L5" s="7">
        <x:v>0.25</x:v>
      </x:c>
      <x:c r="M5" s="7">
        <x:v>0.42857142857142849</x:v>
      </x:c>
      <x:c r="N5" s="7">
        <x:v>1</x:v>
      </x:c>
      <x:c r="O5" s="7">
        <x:v>0.42857142857142849</x:v>
      </x:c>
      <x:c r="P5" s="7">
        <x:v>0.42857142857142849</x:v>
      </x:c>
    </x:row>
    <x:row r="6">
      <x:c r="A6" s="2" t="s">
        <x:v>601</x:v>
      </x:c>
      <x:c r="B6" s="2" t="str">
        <x:f>KNN_Stability!E2</x:f>
        <x:v>SRR17037623</x:v>
      </x:c>
      <x:c r="C6" s="2" t="s">
        <x:v>602</x:v>
      </x:c>
      <x:c r="D6" s="2"/>
      <x:c r="E6" s="2"/>
      <x:c r="F6" s="6">
        <x:v>6</x:v>
      </x:c>
      <x:c r="G6" s="7">
        <x:v>0.78328173374612997</x:v>
      </x:c>
      <x:c r="H6" s="7">
        <x:v>0.73787409700722384</x:v>
      </x:c>
      <x:c r="I6" s="7">
        <x:v>0.70278637770897823</x:v>
      </x:c>
      <x:c r="J6" s="7">
        <x:v>1</x:v>
      </x:c>
      <x:c r="K6" s="6">
        <x:v>6</x:v>
      </x:c>
      <x:c r="L6" s="7">
        <x:v>0.25</x:v>
      </x:c>
      <x:c r="M6" s="7">
        <x:v>0.25</x:v>
      </x:c>
      <x:c r="N6" s="7">
        <x:v>0.42857142857142849</x:v>
      </x:c>
      <x:c r="O6" s="7">
        <x:v>1</x:v>
      </x:c>
      <x:c r="P6" s="7">
        <x:v>0.42857142857142849</x:v>
      </x:c>
    </x:row>
    <x:row r="7">
      <x:c r="A7" s="2" t="s">
        <x:v>603</x:v>
      </x:c>
      <x:c r="B7" s="2" t="n">
        <x:f>AVERAGE(KNN_Spearman!C2,KNN_Spearman!D2,KNN_Spearman!E2,KNN_Spearman!F2,KNN_Spearman!D3,KNN_Spearman!E3,KNN_Spearman!F3,KNN_Spearman!E4,KNN_Spearman!F4,KNN_Spearman!F5)</x:f>
        <x:v>0.7457172342621259</x:v>
      </x:c>
      <x:c r="C7" s="2" t="s">
        <x:v>604</x:v>
      </x:c>
      <x:c r="D7" s="2"/>
      <x:c r="E7" s="2"/>
      <x:c r="F7" s="6">
        <x:v>7</x:v>
      </x:c>
      <x:c r="G7" s="7">
        <x:v>0.66976264189886481</x:v>
      </x:c>
      <x:c r="H7" s="7">
        <x:v>0.77296181630546945</x:v>
      </x:c>
      <x:c r="I7" s="7">
        <x:v>0.73787409700722384</x:v>
      </x:c>
      <x:c r="J7" s="7">
        <x:v>0.75025799793601655</x:v>
      </x:c>
      <x:c r="K7" s="6">
        <x:v>7</x:v>
      </x:c>
      <x:c r="L7" s="7">
        <x:v>0.42857142857142849</x:v>
      </x:c>
      <x:c r="M7" s="7">
        <x:v>0.42857142857142849</x:v>
      </x:c>
      <x:c r="N7" s="7">
        <x:v>0.42857142857142849</x:v>
      </x:c>
      <x:c r="O7" s="7">
        <x:v>0.42857142857142849</x:v>
      </x:c>
      <x:c r="P7" s="7">
        <x:v>1</x:v>
      </x:c>
    </x:row>
    <x:row r="8">
      <x:c r="A8" s="2" t="s">
        <x:v>605</x:v>
      </x:c>
      <x:c r="B8" s="2" t="n">
        <x:f>MIN(KNN_Spearman!C2,KNN_Spearman!D2,KNN_Spearman!E2,KNN_Spearman!F2,KNN_Spearman!D3,KNN_Spearman!E3,KNN_Spearman!F3,KNN_Spearman!E4,KNN_Spearman!F4,KNN_Spearman!F5)</x:f>
        <x:v>0.6429308565531475</x:v>
      </x:c>
      <x:c r="C8" s="2" t="s">
        <x:v>606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>
      <x:c r="A9" s="2" t="s">
        <x:v>607</x:v>
      </x:c>
      <x:c r="B9" s="2" t="n">
        <x:f>MAX(KNN_Spearman!C2,KNN_Spearman!D2,KNN_Spearman!E2,KNN_Spearman!F2,KNN_Spearman!D3,KNN_Spearman!E3,KNN_Spearman!F3,KNN_Spearman!E4,KNN_Spearman!F4,KNN_Spearman!F5)</x:f>
        <x:v>0.8802889576883385</x:v>
      </x:c>
      <x:c r="C9" s="2" t="s">
        <x:v>608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>
      <x:c r="A10" s="2" t="s">
        <x:v>609</x:v>
      </x:c>
      <x:c r="B10" s="2" t="n">
        <x:f>AVERAGE(KNN_Jaccard!C2,KNN_Jaccard!D2,KNN_Jaccard!E2,KNN_Jaccard!F2,KNN_Jaccard!D3,KNN_Jaccard!E3,KNN_Jaccard!F3,KNN_Jaccard!E4,KNN_Jaccard!F4,KNN_Jaccard!F5)</x:f>
        <x:v>0.3749999999999999</x:v>
      </x:c>
      <x:c r="C10" s="2" t="s">
        <x:v>610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>
      <x:c r="A11" s="2" t="s">
        <x:v>611</x:v>
      </x:c>
      <x:c r="B11" s="2" t="n">
        <x:f>MIN(KNN_Jaccard!C2,KNN_Jaccard!D2,KNN_Jaccard!E2,KNN_Jaccard!F2,KNN_Jaccard!D3,KNN_Jaccard!E3,KNN_Jaccard!F3,KNN_Jaccard!E4,KNN_Jaccard!F4,KNN_Jaccard!F5)</x:f>
        <x:v>0.25</x:v>
      </x:c>
      <x:c r="C11" s="2" t="s">
        <x:v>612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>
      <x:c r="A12" s="2" t="s">
        <x:v>613</x:v>
      </x:c>
      <x:c r="B12" s="2" t="n">
        <x:f>MAX(KNN_Jaccard!C2,KNN_Jaccard!D2,KNN_Jaccard!E2,KNN_Jaccard!F2,KNN_Jaccard!D3,KNN_Jaccard!E3,KNN_Jaccard!F3,KNN_Jaccard!E4,KNN_Jaccard!F4,KNN_Jaccard!F5)</x:f>
        <x:v>0.4285714285714285</x:v>
      </x:c>
      <x:c r="C12" s="2" t="s">
        <x:v>614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4.399999618530273"/>
  <x:cols>
    <x:col min="1" max="1" width="26" customWidth="1"/>
    <x:col min="2" max="2" width="11" customWidth="1"/>
    <x:col min="3" max="3" width="12" customWidth="1"/>
    <x:col min="4" max="5" width="10" customWidth="1"/>
    <x:col min="6" max="6" width="14" customWidth="1"/>
    <x:col min="7" max="7" width="13" customWidth="1"/>
  </x:cols>
  <x:sheetData>
    <x:row r="1">
      <x:c r="A1" s="5" t="s">
        <x:v>615</x:v>
      </x:c>
      <x:c r="B1" s="5" t="s">
        <x:v>616</x:v>
      </x:c>
      <x:c r="C1" s="5" t="s">
        <x:v>617</x:v>
      </x:c>
      <x:c r="D1" s="5" t="s">
        <x:v>618</x:v>
      </x:c>
      <x:c r="E1" s="5" t="s">
        <x:v>619</x:v>
      </x:c>
      <x:c r="F1" s="5" t="s">
        <x:v>620</x:v>
      </x:c>
      <x:c r="G1" s="5" t="s">
        <x:v>621</x:v>
      </x:c>
    </x:row>
    <x:row r="2">
      <x:c r="A2" s="2" t="str">
        <x:v>coffee_case_study_results</x:v>
      </x:c>
      <x:c r="B2" s="2" t="s">
        <x:v>622</x:v>
      </x:c>
      <x:c r="C2" s="2" t="s">
        <x:v>623</x:v>
      </x:c>
      <x:c r="D2" s="6">
        <x:v>5</x:v>
      </x:c>
      <x:c r="E2" s="6">
        <x:v>0</x:v>
      </x:c>
      <x:c r="F2" s="6">
        <x:v>21</x:v>
      </x:c>
      <x:c r="G2" s="6">
        <x:v>6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4.399999618530273"/>
  <x:cols>
    <x:col min="1" max="1" width="12" customWidth="1"/>
    <x:col min="2" max="2" width="10" customWidth="1"/>
    <x:col min="3" max="3" width="12" customWidth="1"/>
    <x:col min="4" max="4" width="19" customWidth="1"/>
    <x:col min="5" max="5" width="22" customWidth="1"/>
  </x:cols>
  <x:sheetData>
    <x:row r="1">
      <x:c r="A1" s="5" t="s">
        <x:v>617</x:v>
      </x:c>
      <x:c r="B1" s="5" t="s">
        <x:v>618</x:v>
      </x:c>
      <x:c r="C1" s="5" t="s">
        <x:v>624</x:v>
      </x:c>
      <x:c r="D1" s="5" t="s">
        <x:v>625</x:v>
      </x:c>
      <x:c r="E1" s="5" t="s">
        <x:v>626</x:v>
      </x:c>
    </x:row>
    <x:row r="2">
      <x:c r="A2" s="2" t="s">
        <x:v>623</x:v>
      </x:c>
      <x:c r="B2" s="6">
        <x:v>5</x:v>
      </x:c>
      <x:c r="C2" s="6">
        <x:v>11</x:v>
      </x:c>
      <x:c r="D2" s="6">
        <x:v>1</x:v>
      </x:c>
      <x:c r="E2" s="2" t="s">
        <x:v>119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4.399999618530273"/>
  <x:cols>
    <x:col min="1" max="2" width="10" customWidth="1"/>
    <x:col min="3" max="3" width="13" customWidth="1"/>
    <x:col min="4" max="4" width="20" customWidth="1"/>
  </x:cols>
  <x:sheetData>
    <x:row r="1">
      <x:c r="A1" s="5" t="s">
        <x:v>219</x:v>
      </x:c>
      <x:c r="B1" s="5" t="s">
        <x:v>192</x:v>
      </x:c>
      <x:c r="C1" s="5" t="s">
        <x:v>74</x:v>
      </x:c>
      <x:c r="D1" s="5" t="s">
        <x:v>191</x:v>
      </x:c>
    </x:row>
    <x:row r="2">
      <x:c r="A2" s="6">
        <x:v>3</x:v>
      </x:c>
      <x:c r="B2" s="6">
        <x:v>1</x:v>
      </x:c>
      <x:c r="C2" s="2" t="s">
        <x:v>113</x:v>
      </x:c>
      <x:c r="D2" s="7">
        <x:v>4.38884252814647</x:v>
      </x:c>
    </x:row>
    <x:row r="3">
      <x:c r="A3" s="6">
        <x:v>3</x:v>
      </x:c>
      <x:c r="B3" s="6">
        <x:v>2</x:v>
      </x:c>
      <x:c r="C3" s="2" t="s">
        <x:v>119</x:v>
      </x:c>
      <x:c r="D3" s="7">
        <x:v>3.614446321219309</x:v>
      </x:c>
    </x:row>
    <x:row r="4">
      <x:c r="A4" s="6">
        <x:v>3</x:v>
      </x:c>
      <x:c r="B4" s="6">
        <x:v>3</x:v>
      </x:c>
      <x:c r="C4" s="2" t="s">
        <x:v>128</x:v>
      </x:c>
      <x:c r="D4" s="7">
        <x:v>1.748468609666076</x:v>
      </x:c>
    </x:row>
    <x:row r="5">
      <x:c r="A5" s="6">
        <x:v>3</x:v>
      </x:c>
      <x:c r="B5" s="6">
        <x:v>4</x:v>
      </x:c>
      <x:c r="C5" s="2" t="s">
        <x:v>101</x:v>
      </x:c>
      <x:c r="D5" s="7">
        <x:v>1.6558877628026261</x:v>
      </x:c>
    </x:row>
    <x:row r="6">
      <x:c r="A6" s="6">
        <x:v>3</x:v>
      </x:c>
      <x:c r="B6" s="6">
        <x:v>5</x:v>
      </x:c>
      <x:c r="C6" s="2" t="s">
        <x:v>131</x:v>
      </x:c>
      <x:c r="D6" s="7">
        <x:v>1.085259527104125</x:v>
      </x:c>
    </x:row>
    <x:row r="7">
      <x:c r="A7" s="6">
        <x:v>4</x:v>
      </x:c>
      <x:c r="B7" s="6">
        <x:v>1</x:v>
      </x:c>
      <x:c r="C7" s="2" t="s">
        <x:v>119</x:v>
      </x:c>
      <x:c r="D7" s="7">
        <x:v>3.9160764055996</x:v>
      </x:c>
    </x:row>
    <x:row r="8">
      <x:c r="A8" s="6">
        <x:v>4</x:v>
      </x:c>
      <x:c r="B8" s="6">
        <x:v>2</x:v>
      </x:c>
      <x:c r="C8" s="2" t="s">
        <x:v>113</x:v>
      </x:c>
      <x:c r="D8" s="7">
        <x:v>3.8207811979628858</x:v>
      </x:c>
    </x:row>
    <x:row r="9">
      <x:c r="A9" s="6">
        <x:v>4</x:v>
      </x:c>
      <x:c r="B9" s="6">
        <x:v>3</x:v>
      </x:c>
      <x:c r="C9" s="2" t="s">
        <x:v>116</x:v>
      </x:c>
      <x:c r="D9" s="7">
        <x:v>2.3102356251281742</x:v>
      </x:c>
    </x:row>
    <x:row r="10">
      <x:c r="A10" s="6">
        <x:v>4</x:v>
      </x:c>
      <x:c r="B10" s="6">
        <x:v>4</x:v>
      </x:c>
      <x:c r="C10" s="2" t="s">
        <x:v>122</x:v>
      </x:c>
      <x:c r="D10" s="7">
        <x:v>1.1490162124663621</x:v>
      </x:c>
    </x:row>
    <x:row r="11">
      <x:c r="A11" s="6">
        <x:v>4</x:v>
      </x:c>
      <x:c r="B11" s="6">
        <x:v>5</x:v>
      </x:c>
      <x:c r="C11" s="2" t="s">
        <x:v>101</x:v>
      </x:c>
      <x:c r="D11" s="7">
        <x:v>1.137958470884872</x:v>
      </x:c>
    </x:row>
    <x:row r="12">
      <x:c r="A12" s="6">
        <x:v>5</x:v>
      </x:c>
      <x:c r="B12" s="6">
        <x:v>1</x:v>
      </x:c>
      <x:c r="C12" s="2" t="s">
        <x:v>119</x:v>
      </x:c>
      <x:c r="D12" s="7">
        <x:v>4.2291881040923833</x:v>
      </x:c>
    </x:row>
    <x:row r="13">
      <x:c r="A13" s="6">
        <x:v>5</x:v>
      </x:c>
      <x:c r="B13" s="6">
        <x:v>2</x:v>
      </x:c>
      <x:c r="C13" s="2" t="s">
        <x:v>83</x:v>
      </x:c>
      <x:c r="D13" s="7">
        <x:v>2.0185949146210742</x:v>
      </x:c>
    </x:row>
    <x:row r="14">
      <x:c r="A14" s="6">
        <x:v>5</x:v>
      </x:c>
      <x:c r="B14" s="6">
        <x:v>3</x:v>
      </x:c>
      <x:c r="C14" s="2" t="s">
        <x:v>113</x:v>
      </x:c>
      <x:c r="D14" s="7">
        <x:v>1.9512958849225139</x:v>
      </x:c>
    </x:row>
    <x:row r="15">
      <x:c r="A15" s="6">
        <x:v>5</x:v>
      </x:c>
      <x:c r="B15" s="6">
        <x:v>4</x:v>
      </x:c>
      <x:c r="C15" s="2" t="s">
        <x:v>122</x:v>
      </x:c>
      <x:c r="D15" s="7">
        <x:v>1.8826836243501279</x:v>
      </x:c>
    </x:row>
    <x:row r="16">
      <x:c r="A16" s="6">
        <x:v>5</x:v>
      </x:c>
      <x:c r="B16" s="6">
        <x:v>5</x:v>
      </x:c>
      <x:c r="C16" s="2" t="s">
        <x:v>92</x:v>
      </x:c>
      <x:c r="D16" s="7">
        <x:v>0.83220989962438419</x:v>
      </x:c>
    </x:row>
    <x:row r="17">
      <x:c r="A17" s="6">
        <x:v>6</x:v>
      </x:c>
      <x:c r="B17" s="6">
        <x:v>1</x:v>
      </x:c>
      <x:c r="C17" s="2" t="s">
        <x:v>119</x:v>
      </x:c>
      <x:c r="D17" s="7">
        <x:v>3.768195204748586</x:v>
      </x:c>
    </x:row>
    <x:row r="18">
      <x:c r="A18" s="6">
        <x:v>6</x:v>
      </x:c>
      <x:c r="B18" s="6">
        <x:v>2</x:v>
      </x:c>
      <x:c r="C18" s="2" t="s">
        <x:v>128</x:v>
      </x:c>
      <x:c r="D18" s="7">
        <x:v>2.0304384224891909</x:v>
      </x:c>
    </x:row>
    <x:row r="19">
      <x:c r="A19" s="6">
        <x:v>6</x:v>
      </x:c>
      <x:c r="B19" s="6">
        <x:v>3</x:v>
      </x:c>
      <x:c r="C19" s="2" t="s">
        <x:v>83</x:v>
      </x:c>
      <x:c r="D19" s="7">
        <x:v>1.720136496276107</x:v>
      </x:c>
    </x:row>
    <x:row r="20">
      <x:c r="A20" s="6">
        <x:v>6</x:v>
      </x:c>
      <x:c r="B20" s="6">
        <x:v>4</x:v>
      </x:c>
      <x:c r="C20" s="2" t="s">
        <x:v>95</x:v>
      </x:c>
      <x:c r="D20" s="7">
        <x:v>1.6264113576950421</x:v>
      </x:c>
    </x:row>
    <x:row r="21">
      <x:c r="A21" s="6">
        <x:v>6</x:v>
      </x:c>
      <x:c r="B21" s="6">
        <x:v>5</x:v>
      </x:c>
      <x:c r="C21" s="2" t="s">
        <x:v>122</x:v>
      </x:c>
      <x:c r="D21" s="7">
        <x:v>1.103390210777059</x:v>
      </x:c>
    </x:row>
    <x:row r="22">
      <x:c r="A22" s="6">
        <x:v>7</x:v>
      </x:c>
      <x:c r="B22" s="6">
        <x:v>1</x:v>
      </x:c>
      <x:c r="C22" s="2" t="s">
        <x:v>119</x:v>
      </x:c>
      <x:c r="D22" s="7">
        <x:v>3.026074145868102</x:v>
      </x:c>
    </x:row>
    <x:row r="23">
      <x:c r="A23" s="6">
        <x:v>7</x:v>
      </x:c>
      <x:c r="B23" s="6">
        <x:v>2</x:v>
      </x:c>
      <x:c r="C23" s="2" t="s">
        <x:v>86</x:v>
      </x:c>
      <x:c r="D23" s="7">
        <x:v>2.1837626508683008</x:v>
      </x:c>
    </x:row>
    <x:row r="24">
      <x:c r="A24" s="6">
        <x:v>7</x:v>
      </x:c>
      <x:c r="B24" s="6">
        <x:v>3</x:v>
      </x:c>
      <x:c r="C24" s="2" t="s">
        <x:v>122</x:v>
      </x:c>
      <x:c r="D24" s="7">
        <x:v>1.925666159518242</x:v>
      </x:c>
    </x:row>
    <x:row r="25">
      <x:c r="A25" s="6">
        <x:v>7</x:v>
      </x:c>
      <x:c r="B25" s="6">
        <x:v>4</x:v>
      </x:c>
      <x:c r="C25" s="2" t="s">
        <x:v>128</x:v>
      </x:c>
      <x:c r="D25" s="7">
        <x:v>1.918106575290826</x:v>
      </x:c>
    </x:row>
    <x:row r="26">
      <x:c r="A26" s="6">
        <x:v>7</x:v>
      </x:c>
      <x:c r="B26" s="6">
        <x:v>5</x:v>
      </x:c>
      <x:c r="C26" s="2" t="s">
        <x:v>113</x:v>
      </x:c>
      <x:c r="D26" s="7">
        <x:v>0.79484852948636486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4.399999618530273"/>
  <x:cols>
    <x:col min="1" max="1" width="13" customWidth="1"/>
    <x:col min="2" max="4" width="22" customWidth="1"/>
    <x:col min="5" max="6" width="21" customWidth="1"/>
  </x:cols>
  <x:sheetData>
    <x:row r="1">
      <x:c r="A1" s="5" t="s">
        <x:v>74</x:v>
      </x:c>
      <x:c r="B1" s="5" t="s">
        <x:v>627</x:v>
      </x:c>
      <x:c r="C1" s="5" t="s">
        <x:v>628</x:v>
      </x:c>
      <x:c r="D1" s="5" t="s">
        <x:v>629</x:v>
      </x:c>
      <x:c r="E1" s="5" t="s">
        <x:v>630</x:v>
      </x:c>
      <x:c r="F1" s="5" t="s">
        <x:v>631</x:v>
      </x:c>
    </x:row>
    <x:row r="2">
      <x:c r="A2" s="2" t="s">
        <x:v>80</x:v>
      </x:c>
      <x:c r="B2" s="7">
        <x:v>-0.27302558555414641</x:v>
      </x:c>
      <x:c r="C2" s="7">
        <x:v>-9.8665166843190877E-2</x:v>
      </x:c>
      <x:c r="D2" s="7">
        <x:v>-5.0969518708921142E-2</x:v>
      </x:c>
      <x:c r="E2" s="7">
        <x:v>-0.95521821632747717</x:v>
      </x:c>
      <x:c r="F2" s="7">
        <x:v>0.68833459850821321</x:v>
      </x:c>
    </x:row>
    <x:row r="3">
      <x:c r="A3" s="2" t="s">
        <x:v>83</x:v>
      </x:c>
      <x:c r="B3" s="7">
        <x:v>0.66703435410187462</x:v>
      </x:c>
      <x:c r="C3" s="7">
        <x:v>0.72857196951663517</x:v>
      </x:c>
      <x:c r="D3" s="7">
        <x:v>2.0185949146210742</x:v>
      </x:c>
      <x:c r="E3" s="7">
        <x:v>1.720136496276107</x:v>
      </x:c>
      <x:c r="F3" s="7">
        <x:v>-0.55957942646549763</x:v>
      </x:c>
    </x:row>
    <x:row r="4">
      <x:c r="A4" s="2" t="s">
        <x:v>86</x:v>
      </x:c>
      <x:c r="B4" s="7">
        <x:v>0.40776140006256872</x:v>
      </x:c>
      <x:c r="C4" s="7">
        <x:v>0.49735723718365688</x:v>
      </x:c>
      <x:c r="D4" s="7">
        <x:v>0.1812423360099272</x:v>
      </x:c>
      <x:c r="E4" s="7">
        <x:v>0.42267733942443492</x:v>
      </x:c>
      <x:c r="F4" s="7">
        <x:v>2.1837626508683008</x:v>
      </x:c>
    </x:row>
    <x:row r="5">
      <x:c r="A5" s="2" t="s">
        <x:v>89</x:v>
      </x:c>
      <x:c r="B5" s="7">
        <x:v>-0.93373828938340819</x:v>
      </x:c>
      <x:c r="C5" s="7">
        <x:v>-1.3425491222535531</x:v>
      </x:c>
      <x:c r="D5" s="7">
        <x:v>-1.533832232087329</x:v>
      </x:c>
      <x:c r="E5" s="7">
        <x:v>-1.785437993294571</x:v>
      </x:c>
      <x:c r="F5" s="7">
        <x:v>-1.6320154788218371</x:v>
      </x:c>
    </x:row>
    <x:row r="6">
      <x:c r="A6" s="2" t="s">
        <x:v>92</x:v>
      </x:c>
      <x:c r="B6" s="7">
        <x:v>-0.32487043877190458</x:v>
      </x:c>
      <x:c r="C6" s="7">
        <x:v>0.1729263684454245</x:v>
      </x:c>
      <x:c r="D6" s="7">
        <x:v>0.83220989962438419</x:v>
      </x:c>
      <x:c r="E6" s="7">
        <x:v>-1.258673960112153</x:v>
      </x:c>
      <x:c r="F6" s="7">
        <x:v>0.1584653920826001</x:v>
      </x:c>
    </x:row>
    <x:row r="7">
      <x:c r="A7" s="2" t="s">
        <x:v>95</x:v>
      </x:c>
      <x:c r="B7" s="7">
        <x:v>-0.1111157726855653</x:v>
      </x:c>
      <x:c r="C7" s="7">
        <x:v>-0.6437466575630113</x:v>
      </x:c>
      <x:c r="D7" s="7">
        <x:v>-0.1694868873935538</x:v>
      </x:c>
      <x:c r="E7" s="7">
        <x:v>1.6264113576950421</x:v>
      </x:c>
      <x:c r="F7" s="7">
        <x:v>0.69788924655685625</x:v>
      </x:c>
    </x:row>
    <x:row r="8">
      <x:c r="A8" s="2" t="s">
        <x:v>98</x:v>
      </x:c>
      <x:c r="B8" s="7">
        <x:v>0.84053607520226592</x:v>
      </x:c>
      <x:c r="C8" s="7">
        <x:v>-0.96117196160386043</x:v>
      </x:c>
      <x:c r="D8" s="7">
        <x:v>-0.1903570816455141</x:v>
      </x:c>
      <x:c r="E8" s="7">
        <x:v>-0.43902017409052718</x:v>
      </x:c>
      <x:c r="F8" s="7">
        <x:v>-0.60143109227974334</x:v>
      </x:c>
    </x:row>
    <x:row r="9">
      <x:c r="A9" s="2" t="s">
        <x:v>101</x:v>
      </x:c>
      <x:c r="B9" s="7">
        <x:v>1.6558877628026261</x:v>
      </x:c>
      <x:c r="C9" s="7">
        <x:v>1.137958470884872</x:v>
      </x:c>
      <x:c r="D9" s="7">
        <x:v>0.16797282353080639</x:v>
      </x:c>
      <x:c r="E9" s="7">
        <x:v>0.97630341949145016</x:v>
      </x:c>
      <x:c r="F9" s="7">
        <x:v>-0.42582555555540741</x:v>
      </x:c>
    </x:row>
    <x:row r="10">
      <x:c r="A10" s="2" t="s">
        <x:v>104</x:v>
      </x:c>
      <x:c r="B10" s="7">
        <x:v>-4.0891771473785914</x:v>
      </x:c>
      <x:c r="C10" s="7">
        <x:v>-3.2834986280005891</x:v>
      </x:c>
      <x:c r="D10" s="7">
        <x:v>-1.5445759529961891</x:v>
      </x:c>
      <x:c r="E10" s="7">
        <x:v>-2.2573338098918749</x:v>
      </x:c>
      <x:c r="F10" s="7">
        <x:v>-2.7544578276566738</x:v>
      </x:c>
    </x:row>
    <x:row r="11">
      <x:c r="A11" s="2" t="s">
        <x:v>107</x:v>
      </x:c>
      <x:c r="B11" s="7">
        <x:v>-3.977920697090251</x:v>
      </x:c>
      <x:c r="C11" s="7">
        <x:v>-3.1798765359705081</x:v>
      </x:c>
      <x:c r="D11" s="7">
        <x:v>-2.521461030447858</x:v>
      </x:c>
      <x:c r="E11" s="7">
        <x:v>-2.4038234902368649</x:v>
      </x:c>
      <x:c r="F11" s="7">
        <x:v>-2.211150182360996</x:v>
      </x:c>
    </x:row>
    <x:row r="12">
      <x:c r="A12" s="2" t="s">
        <x:v>110</x:v>
      </x:c>
      <x:c r="B12" s="7">
        <x:v>-4.0014349368080193</x:v>
      </x:c>
      <x:c r="C12" s="7">
        <x:v>-3.1691784667960832</x:v>
      </x:c>
      <x:c r="D12" s="7">
        <x:v>-2.4821784383280758</x:v>
      </x:c>
      <x:c r="E12" s="7">
        <x:v>-1.3661549215499349</x:v>
      </x:c>
      <x:c r="F12" s="7">
        <x:v>-1.734328892854764</x:v>
      </x:c>
    </x:row>
    <x:row r="13">
      <x:c r="A13" s="2" t="s">
        <x:v>113</x:v>
      </x:c>
      <x:c r="B13" s="7">
        <x:v>4.38884252814647</x:v>
      </x:c>
      <x:c r="C13" s="7">
        <x:v>3.8207811979628858</x:v>
      </x:c>
      <x:c r="D13" s="7">
        <x:v>1.9512958849225139</x:v>
      </x:c>
      <x:c r="E13" s="7">
        <x:v>0.26500048198053983</x:v>
      </x:c>
      <x:c r="F13" s="7">
        <x:v>0.79484852948636486</x:v>
      </x:c>
    </x:row>
    <x:row r="14">
      <x:c r="A14" s="2" t="s">
        <x:v>116</x:v>
      </x:c>
      <x:c r="B14" s="7">
        <x:v>-2.4248192431634761E-2</x:v>
      </x:c>
      <x:c r="C14" s="7">
        <x:v>2.3102356251281742</x:v>
      </x:c>
      <x:c r="D14" s="7">
        <x:v>-0.12741870487669149</x:v>
      </x:c>
      <x:c r="E14" s="7">
        <x:v>9.7997336748965491E-2</x:v>
      </x:c>
      <x:c r="F14" s="7">
        <x:v>8.9154218953100939E-2</x:v>
      </x:c>
    </x:row>
    <x:row r="15">
      <x:c r="A15" s="2" t="s">
        <x:v>119</x:v>
      </x:c>
      <x:c r="B15" s="7">
        <x:v>3.614446321219309</x:v>
      </x:c>
      <x:c r="C15" s="7">
        <x:v>3.9160764055996</x:v>
      </x:c>
      <x:c r="D15" s="7">
        <x:v>4.2291881040923833</x:v>
      </x:c>
      <x:c r="E15" s="7">
        <x:v>3.768195204748586</x:v>
      </x:c>
      <x:c r="F15" s="7">
        <x:v>3.026074145868102</x:v>
      </x:c>
    </x:row>
    <x:row r="16">
      <x:c r="A16" s="2" t="s">
        <x:v>122</x:v>
      </x:c>
      <x:c r="B16" s="7">
        <x:v>0.4529097669803237</x:v>
      </x:c>
      <x:c r="C16" s="7">
        <x:v>1.1490162124663621</x:v>
      </x:c>
      <x:c r="D16" s="7">
        <x:v>1.8826836243501279</x:v>
      </x:c>
      <x:c r="E16" s="7">
        <x:v>1.103390210777059</x:v>
      </x:c>
      <x:c r="F16" s="7">
        <x:v>1.925666159518242</x:v>
      </x:c>
    </x:row>
    <x:row r="17">
      <x:c r="A17" s="2" t="s">
        <x:v>125</x:v>
      </x:c>
      <x:c r="B17" s="7">
        <x:v>-1.1256152851821919</x:v>
      </x:c>
      <x:c r="C17" s="7">
        <x:v>-1.2820813335631409</x:v>
      </x:c>
      <x:c r="D17" s="7">
        <x:v>-0.98422149807529102</x:v>
      </x:c>
      <x:c r="E17" s="7">
        <x:v>-0.95205466707544306</x:v>
      </x:c>
      <x:c r="F17" s="7">
        <x:v>-1.2086380997354891</x:v>
      </x:c>
    </x:row>
    <x:row r="18">
      <x:c r="A18" s="2" t="s">
        <x:v>128</x:v>
      </x:c>
      <x:c r="B18" s="7">
        <x:v>1.748468609666076</x:v>
      </x:c>
      <x:c r="C18" s="7">
        <x:v>0.13353362503236621</x:v>
      </x:c>
      <x:c r="D18" s="7">
        <x:v>-0.43356136524177741</x:v>
      </x:c>
      <x:c r="E18" s="7">
        <x:v>2.0304384224891909</x:v>
      </x:c>
      <x:c r="F18" s="7">
        <x:v>1.918106575290826</x:v>
      </x:c>
    </x:row>
    <x:row r="19">
      <x:c r="A19" s="2" t="s">
        <x:v>131</x:v>
      </x:c>
      <x:c r="B19" s="7">
        <x:v>1.085259527104125</x:v>
      </x:c>
      <x:c r="C19" s="7">
        <x:v>9.4310760373995883E-2</x:v>
      </x:c>
      <x:c r="D19" s="7">
        <x:v>-1.2251248773500549</x:v>
      </x:c>
      <x:c r="E19" s="7">
        <x:v>-0.59283303705248858</x:v>
      </x:c>
      <x:c r="F19" s="7">
        <x:v>-0.35487496140203773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4.399999618530273"/>
  <x:cols>
    <x:col min="1" max="1" width="10" customWidth="1"/>
    <x:col min="2" max="6" width="11" customWidth="1"/>
  </x:cols>
  <x:sheetData>
    <x:row r="1">
      <x:c r="A1" s="5"/>
      <x:c r="B1" s="5">
        <x:v>3</x:v>
      </x:c>
      <x:c r="C1" s="5">
        <x:v>4</x:v>
      </x:c>
      <x:c r="D1" s="5">
        <x:v>5</x:v>
      </x:c>
      <x:c r="E1" s="5">
        <x:v>6</x:v>
      </x:c>
      <x:c r="F1" s="5">
        <x:v>7</x:v>
      </x:c>
    </x:row>
    <x:row r="2">
      <x:c r="A2" s="6">
        <x:v>3</x:v>
      </x:c>
      <x:c r="B2" s="7">
        <x:v>1</x:v>
      </x:c>
      <x:c r="C2" s="7">
        <x:v>0.77915376676986581</x:v>
      </x:c>
      <x:c r="D2" s="7">
        <x:v>0.64293085655314752</x:v>
      </x:c>
      <x:c r="E2" s="7">
        <x:v>0.78328173374612997</x:v>
      </x:c>
      <x:c r="F2" s="7">
        <x:v>0.66976264189886481</x:v>
      </x:c>
    </x:row>
    <x:row r="3">
      <x:c r="A3" s="6">
        <x:v>4</x:v>
      </x:c>
      <x:c r="B3" s="7">
        <x:v>0.77915376676986581</x:v>
      </x:c>
      <x:c r="C3" s="7">
        <x:v>1</x:v>
      </x:c>
      <x:c r="D3" s="7">
        <x:v>0.88028895768833848</x:v>
      </x:c>
      <x:c r="E3" s="7">
        <x:v>0.73787409700722384</x:v>
      </x:c>
      <x:c r="F3" s="7">
        <x:v>0.77296181630546945</x:v>
      </x:c>
    </x:row>
    <x:row r="4">
      <x:c r="A4" s="6">
        <x:v>5</x:v>
      </x:c>
      <x:c r="B4" s="7">
        <x:v>0.64293085655314752</x:v>
      </x:c>
      <x:c r="C4" s="7">
        <x:v>0.88028895768833848</x:v>
      </x:c>
      <x:c r="D4" s="7">
        <x:v>1</x:v>
      </x:c>
      <x:c r="E4" s="7">
        <x:v>0.70278637770897823</x:v>
      </x:c>
      <x:c r="F4" s="7">
        <x:v>0.73787409700722384</x:v>
      </x:c>
    </x:row>
    <x:row r="5">
      <x:c r="A5" s="6">
        <x:v>6</x:v>
      </x:c>
      <x:c r="B5" s="7">
        <x:v>0.78328173374612997</x:v>
      </x:c>
      <x:c r="C5" s="7">
        <x:v>0.73787409700722384</x:v>
      </x:c>
      <x:c r="D5" s="7">
        <x:v>0.70278637770897823</x:v>
      </x:c>
      <x:c r="E5" s="7">
        <x:v>1</x:v>
      </x:c>
      <x:c r="F5" s="7">
        <x:v>0.75025799793601655</x:v>
      </x:c>
    </x:row>
    <x:row r="6">
      <x:c r="A6" s="6">
        <x:v>7</x:v>
      </x:c>
      <x:c r="B6" s="7">
        <x:v>0.66976264189886481</x:v>
      </x:c>
      <x:c r="C6" s="7">
        <x:v>0.77296181630546945</x:v>
      </x:c>
      <x:c r="D6" s="7">
        <x:v>0.73787409700722384</x:v>
      </x:c>
      <x:c r="E6" s="7">
        <x:v>0.75025799793601655</x:v>
      </x:c>
      <x:c r="F6" s="7">
        <x:v>1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4.399999618530273"/>
  <x:cols>
    <x:col min="1" max="1" width="10" customWidth="1"/>
    <x:col min="2" max="6" width="11" customWidth="1"/>
  </x:cols>
  <x:sheetData>
    <x:row r="1">
      <x:c r="A1" s="5"/>
      <x:c r="B1" s="5">
        <x:v>3</x:v>
      </x:c>
      <x:c r="C1" s="5">
        <x:v>4</x:v>
      </x:c>
      <x:c r="D1" s="5">
        <x:v>5</x:v>
      </x:c>
      <x:c r="E1" s="5">
        <x:v>6</x:v>
      </x:c>
      <x:c r="F1" s="5">
        <x:v>7</x:v>
      </x:c>
    </x:row>
    <x:row r="2">
      <x:c r="A2" s="6">
        <x:v>3</x:v>
      </x:c>
      <x:c r="B2" s="7">
        <x:v>1</x:v>
      </x:c>
      <x:c r="C2" s="7">
        <x:v>0.42857142857142849</x:v>
      </x:c>
      <x:c r="D2" s="7">
        <x:v>0.25</x:v>
      </x:c>
      <x:c r="E2" s="7">
        <x:v>0.25</x:v>
      </x:c>
      <x:c r="F2" s="7">
        <x:v>0.42857142857142849</x:v>
      </x:c>
    </x:row>
    <x:row r="3">
      <x:c r="A3" s="6">
        <x:v>4</x:v>
      </x:c>
      <x:c r="B3" s="7">
        <x:v>0.42857142857142849</x:v>
      </x:c>
      <x:c r="C3" s="7">
        <x:v>1</x:v>
      </x:c>
      <x:c r="D3" s="7">
        <x:v>0.42857142857142849</x:v>
      </x:c>
      <x:c r="E3" s="7">
        <x:v>0.25</x:v>
      </x:c>
      <x:c r="F3" s="7">
        <x:v>0.42857142857142849</x:v>
      </x:c>
    </x:row>
    <x:row r="4">
      <x:c r="A4" s="6">
        <x:v>5</x:v>
      </x:c>
      <x:c r="B4" s="7">
        <x:v>0.25</x:v>
      </x:c>
      <x:c r="C4" s="7">
        <x:v>0.42857142857142849</x:v>
      </x:c>
      <x:c r="D4" s="7">
        <x:v>1</x:v>
      </x:c>
      <x:c r="E4" s="7">
        <x:v>0.42857142857142849</x:v>
      </x:c>
      <x:c r="F4" s="7">
        <x:v>0.42857142857142849</x:v>
      </x:c>
    </x:row>
    <x:row r="5">
      <x:c r="A5" s="6">
        <x:v>6</x:v>
      </x:c>
      <x:c r="B5" s="7">
        <x:v>0.25</x:v>
      </x:c>
      <x:c r="C5" s="7">
        <x:v>0.25</x:v>
      </x:c>
      <x:c r="D5" s="7">
        <x:v>0.42857142857142849</x:v>
      </x:c>
      <x:c r="E5" s="7">
        <x:v>1</x:v>
      </x:c>
      <x:c r="F5" s="7">
        <x:v>0.42857142857142849</x:v>
      </x:c>
    </x:row>
    <x:row r="6">
      <x:c r="A6" s="6">
        <x:v>7</x:v>
      </x:c>
      <x:c r="B6" s="7">
        <x:v>0.42857142857142849</x:v>
      </x:c>
      <x:c r="C6" s="7">
        <x:v>0.42857142857142849</x:v>
      </x:c>
      <x:c r="D6" s="7">
        <x:v>0.42857142857142849</x:v>
      </x:c>
      <x:c r="E6" s="7">
        <x:v>0.42857142857142849</x:v>
      </x:c>
      <x:c r="F6" s="7">
        <x:v>1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4.399999618530273"/>
  <x:cols>
    <x:col min="1" max="1" width="29" customWidth="1"/>
    <x:col min="2" max="2" width="13" customWidth="1"/>
    <x:col min="3" max="3" width="19" customWidth="1"/>
    <x:col min="4" max="4" width="20" customWidth="1"/>
  </x:cols>
  <x:sheetData>
    <x:row r="1">
      <x:c r="A1" s="5" t="s">
        <x:v>169</x:v>
      </x:c>
      <x:c r="B1" s="5" t="s">
        <x:v>632</x:v>
      </x:c>
      <x:c r="C1" s="5" t="s">
        <x:v>633</x:v>
      </x:c>
      <x:c r="D1" s="5" t="s">
        <x:v>634</x:v>
      </x:c>
    </x:row>
    <x:row r="2">
      <x:c r="A2" s="2" t="s">
        <x:v>635</x:v>
      </x:c>
      <x:c r="B2" s="6">
        <x:v>0</x:v>
      </x:c>
      <x:c r="C2" s="7">
        <x:v>194.88510370254519</x:v>
      </x:c>
      <x:c r="D2" s="7">
        <x:v>0.36454010009765619</x:v>
      </x:c>
    </x:row>
    <x:row r="3">
      <x:c r="A3" s="2" t="s">
        <x:v>636</x:v>
      </x:c>
      <x:c r="B3" s="6">
        <x:v>0</x:v>
      </x:c>
      <x:c r="C3" s="7">
        <x:v>8.866588830947876</x:v>
      </x:c>
      <x:c r="D3" s="7">
        <x:v>0.19644927978515619</x:v>
      </x:c>
    </x:row>
    <x:row r="4">
      <x:c r="A4" s="2" t="s">
        <x:v>637</x:v>
      </x:c>
      <x:c r="B4" s="6">
        <x:v>0</x:v>
      </x:c>
      <x:c r="C4" s="7">
        <x:v>13.971218109130859</x:v>
      </x:c>
      <x:c r="D4" s="7">
        <x:v>0.206390380859375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4.399999618530273"/>
  <x:cols>
    <x:col min="1" max="1" width="40" customWidth="1"/>
    <x:col min="2" max="2" width="10" customWidth="1"/>
    <x:col min="3" max="5" width="20" customWidth="1"/>
    <x:col min="6" max="6" width="21" customWidth="1"/>
    <x:col min="7" max="7" width="22" customWidth="1"/>
    <x:col min="8" max="8" width="20" customWidth="1"/>
  </x:cols>
  <x:sheetData>
    <x:row r="1">
      <x:c r="A1" s="5" t="str">
        <x:v>Model / score definition</x:v>
      </x:c>
      <x:c r="B1" s="5" t="str">
        <x:v>N</x:v>
      </x:c>
      <x:c r="C1" s="5" t="str">
        <x:v>ROC AUC</x:v>
      </x:c>
      <x:c r="D1" s="5" t="str">
        <x:v>Average precision</x:v>
      </x:c>
      <x:c r="E1" s="5" t="str">
        <x:v>Best F1</x:v>
      </x:c>
      <x:c r="F1" s="5" t="str">
        <x:v>Best threshold</x:v>
      </x:c>
      <x:c r="G1" s="5" t="str">
        <x:v>Spearman rho with entropy</x:v>
      </x:c>
      <x:c r="H1" s="5" t="str">
        <x:v>Spearman P with entropy</x:v>
      </x:c>
    </x:row>
    <x:row r="2">
      <x:c r="A2" s="2" t="str">
        <x:v>TMS (synthetic composite)</x:v>
      </x:c>
      <x:c r="B2" s="6">
        <x:v>53</x:v>
      </x:c>
      <x:c r="C2" s="7">
        <x:v>0.74615384615384628</x:v>
      </x:c>
      <x:c r="D2" s="7">
        <x:v>0.88247964084463715</x:v>
      </x:c>
      <x:c r="E2" s="7">
        <x:v>0.86021505376344087</x:v>
      </x:c>
      <x:c r="F2" s="7">
        <x:v>-1.18064344139494</x:v>
      </x:c>
      <x:c r="G2" s="2"/>
      <x:c r="H2" s="2"/>
    </x:row>
    <x:row r="3">
      <x:c r="A3" s="2" t="str">
        <x:v>Betweenness centrality only (Z-scored)</x:v>
      </x:c>
      <x:c r="B3" s="6">
        <x:v>53</x:v>
      </x:c>
      <x:c r="C3" s="7">
        <x:v>0.72788461538461535</x:v>
      </x:c>
      <x:c r="D3" s="7">
        <x:v>0.85620244428858305</x:v>
      </x:c>
      <x:c r="E3" s="7">
        <x:v>0.86021505376344087</x:v>
      </x:c>
      <x:c r="F3" s="7">
        <x:v>-0.78169689737237591</x:v>
      </x:c>
      <x:c r="G3" s="2"/>
      <x:c r="H3" s="2"/>
    </x:row>
    <x:row r="4">
      <x:c r="A4" s="2" t="str">
        <x:v>Negative ORC incidence only (Z-scored)</x:v>
      </x:c>
      <x:c r="B4" s="6">
        <x:v>53</x:v>
      </x:c>
      <x:c r="C4" s="7">
        <x:v>0.6759615384615385</x:v>
      </x:c>
      <x:c r="D4" s="7">
        <x:v>0.85135960044395131</x:v>
      </x:c>
      <x:c r="E4" s="7">
        <x:v>0.86021505376344087</x:v>
      </x:c>
      <x:c r="F4" s="7">
        <x:v>-0.39894654402256408</x:v>
      </x:c>
      <x:c r="G4" s="2"/>
      <x:c r="H4" s="2"/>
    </x:row>
    <x:row r="5">
      <x:c r="A5" s="2" t="str">
        <x:v>Composite: Z(betweenness) + Z(negative ORC)</x:v>
      </x:c>
      <x:c r="B5" s="6">
        <x:v>53</x:v>
      </x:c>
      <x:c r="C5" s="7">
        <x:v>0.74615384615384628</x:v>
      </x:c>
      <x:c r="D5" s="7">
        <x:v>0.88247964084463715</x:v>
      </x:c>
      <x:c r="E5" s="7">
        <x:v>0.86021505376344087</x:v>
      </x:c>
      <x:c r="F5" s="7">
        <x:v>-1.18064344139494</x:v>
      </x:c>
      <x:c r="G5" s="2"/>
      <x:c r="H5" s="2"/>
    </x:row>
    <x:row r="6">
      <x:c r="A6" s="2" t="str">
        <x:v>Composite (raw sum): betweenness + negative ORC</x:v>
      </x:c>
      <x:c r="B6" s="6">
        <x:v>53</x:v>
      </x:c>
      <x:c r="C6" s="7">
        <x:v>0.76346153846153864</x:v>
      </x:c>
      <x:c r="D6" s="7">
        <x:v>0.90210758415736314</x:v>
      </x:c>
      <x:c r="E6" s="7">
        <x:v>0.86021505376344087</x:v>
      </x:c>
      <x:c r="F6" s="7">
        <x:v>0</x:v>
      </x:c>
      <x:c r="G6" s="2"/>
      <x:c r="H6" s="2"/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4.399999618530273"/>
  <x:cols>
    <x:col min="1" max="1" width="40" customWidth="1"/>
    <x:col min="2" max="3" width="10" customWidth="1"/>
    <x:col min="4" max="4" width="15" customWidth="1"/>
    <x:col min="5" max="5" width="18" customWidth="1"/>
  </x:cols>
  <x:sheetData>
    <x:row r="1">
      <x:c r="A1" s="5" t="s">
        <x:v>638</x:v>
      </x:c>
      <x:c r="B1" s="5" t="s">
        <x:v>639</x:v>
      </x:c>
      <x:c r="C1" s="5" t="s">
        <x:v>640</x:v>
      </x:c>
      <x:c r="D1" s="5" t="s">
        <x:v>641</x:v>
      </x:c>
      <x:c r="E1" s="5" t="s">
        <x:v>642</x:v>
      </x:c>
    </x:row>
    <x:row r="2" ht="28.799999237060547">
      <x:c r="A2" s="2" t="s">
        <x:v>643</x:v>
      </x:c>
      <x:c r="B2" s="6">
        <x:v>53</x:v>
      </x:c>
      <x:c r="C2" s="6">
        <x:v>40</x:v>
      </x:c>
      <x:c r="D2" s="6">
        <x:v>13</x:v>
      </x:c>
      <x:c r="E2" s="6" t="b">
        <x:v>1</x:v>
      </x:c>
    </x:row>
  </x:sheetData>
  <x:pageMargins left="0.7" right="0.7" top="0.75" bottom="0.75" header="0.3" footer="0.3"/>
</x:worksheet>
</file>